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GerenteFinanzas\Descargas\"/>
    </mc:Choice>
  </mc:AlternateContent>
  <xr:revisionPtr revIDLastSave="0" documentId="13_ncr:1_{7DE0AEF0-2004-4D4B-A95E-C6A1F50192D6}" xr6:coauthVersionLast="47" xr6:coauthVersionMax="47" xr10:uidLastSave="{00000000-0000-0000-0000-000000000000}"/>
  <bookViews>
    <workbookView xWindow="-120" yWindow="-120" windowWidth="20730" windowHeight="11160" activeTab="9" xr2:uid="{018D1138-A0EC-4486-8CA3-4E74EAD4A25F}"/>
  </bookViews>
  <sheets>
    <sheet name="ene" sheetId="1" r:id="rId1"/>
    <sheet name="feb" sheetId="2" r:id="rId2"/>
    <sheet name="MAR" sheetId="4" r:id="rId3"/>
    <sheet name="ABR" sheetId="7" r:id="rId4"/>
    <sheet name="MAY" sheetId="8" r:id="rId5"/>
    <sheet name="JUN" sheetId="9" r:id="rId6"/>
    <sheet name="JUL" sheetId="10" r:id="rId7"/>
    <sheet name="AGO" sheetId="11" r:id="rId8"/>
    <sheet name="SEP" sheetId="12" r:id="rId9"/>
    <sheet name="Oct" sheetId="13" r:id="rId10"/>
    <sheet name="NOV" sheetId="14" r:id="rId11"/>
    <sheet name="DIC" sheetId="15" r:id="rId12"/>
  </sheets>
  <externalReferences>
    <externalReference r:id="rId13"/>
    <externalReference r:id="rId14"/>
  </externalReferences>
  <definedNames>
    <definedName name="_xlnm.Print_Area" localSheetId="1">feb!$A$2:$F$44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55" i="14" l="1"/>
  <c r="AS56" i="14"/>
  <c r="AQ13" i="14"/>
  <c r="AD59" i="13"/>
  <c r="AD59" i="14"/>
  <c r="D59" i="14"/>
  <c r="D49" i="14"/>
  <c r="AP49" i="14"/>
  <c r="AM49" i="14"/>
  <c r="Z49" i="14"/>
  <c r="L49" i="14"/>
  <c r="M49" i="14"/>
  <c r="C49" i="14"/>
  <c r="I49" i="14"/>
  <c r="AH49" i="14"/>
  <c r="S49" i="14"/>
  <c r="J49" i="14"/>
  <c r="T49" i="14"/>
  <c r="AC49" i="14"/>
  <c r="R49" i="14"/>
  <c r="AI49" i="14"/>
  <c r="F49" i="14"/>
  <c r="AK49" i="14"/>
  <c r="AF49" i="14"/>
  <c r="B49" i="14"/>
  <c r="AA49" i="14"/>
  <c r="AQ13" i="13" l="1"/>
  <c r="AQ47" i="13" s="1"/>
  <c r="AQ50" i="13" s="1"/>
  <c r="AQ59" i="13" s="1"/>
  <c r="AQ45" i="13"/>
  <c r="D59" i="13"/>
  <c r="C49" i="13"/>
  <c r="AM49" i="13"/>
  <c r="AH49" i="13"/>
  <c r="V49" i="13"/>
  <c r="D49" i="13"/>
  <c r="S49" i="13"/>
  <c r="I49" i="13"/>
  <c r="J49" i="13"/>
  <c r="R49" i="13"/>
  <c r="T49" i="13"/>
  <c r="G49" i="13"/>
  <c r="AC49" i="13"/>
  <c r="M49" i="13"/>
  <c r="AI49" i="13"/>
  <c r="F49" i="13"/>
  <c r="L49" i="13"/>
  <c r="AP49" i="13"/>
  <c r="AK49" i="13"/>
  <c r="AF49" i="13"/>
  <c r="B49" i="13"/>
  <c r="AA49" i="13"/>
  <c r="E49" i="13"/>
  <c r="AS56" i="12" l="1"/>
  <c r="D59" i="12" l="1"/>
  <c r="C49" i="12"/>
  <c r="AQ49" i="12"/>
  <c r="AM49" i="12"/>
  <c r="AH49" i="12"/>
  <c r="D49" i="12"/>
  <c r="S49" i="12"/>
  <c r="I49" i="12"/>
  <c r="J49" i="12"/>
  <c r="R49" i="12"/>
  <c r="T49" i="12"/>
  <c r="AC49" i="12"/>
  <c r="M49" i="12"/>
  <c r="AI49" i="12"/>
  <c r="F49" i="12"/>
  <c r="L49" i="12"/>
  <c r="AP49" i="12"/>
  <c r="AK49" i="12"/>
  <c r="B49" i="12"/>
  <c r="AF49" i="12"/>
  <c r="AA49" i="12"/>
  <c r="E49" i="12"/>
  <c r="E51" i="1" l="1"/>
  <c r="G51" i="1"/>
  <c r="AS55" i="11"/>
  <c r="AS56" i="11"/>
  <c r="AS55" i="10" l="1"/>
  <c r="AS55" i="9"/>
  <c r="AS55" i="8"/>
  <c r="D59" i="11" l="1"/>
  <c r="C49" i="11"/>
  <c r="AM49" i="11"/>
  <c r="AH49" i="11"/>
  <c r="D49" i="11"/>
  <c r="S49" i="11"/>
  <c r="I49" i="11"/>
  <c r="J49" i="11"/>
  <c r="R49" i="11"/>
  <c r="T49" i="11"/>
  <c r="AC49" i="11"/>
  <c r="M49" i="11"/>
  <c r="F49" i="11"/>
  <c r="L49" i="11"/>
  <c r="AP49" i="11"/>
  <c r="AF49" i="11"/>
  <c r="B49" i="11"/>
  <c r="AA49" i="11"/>
  <c r="E49" i="11"/>
  <c r="AD49" i="11"/>
  <c r="D59" i="10" l="1"/>
  <c r="AP49" i="10"/>
  <c r="AR49" i="10"/>
  <c r="C49" i="10"/>
  <c r="AC49" i="10"/>
  <c r="AH49" i="10"/>
  <c r="V49" i="10"/>
  <c r="S49" i="10"/>
  <c r="I49" i="10"/>
  <c r="J49" i="10"/>
  <c r="R49" i="10"/>
  <c r="M49" i="10"/>
  <c r="AI49" i="10"/>
  <c r="F49" i="10"/>
  <c r="L49" i="10"/>
  <c r="AF49" i="10"/>
  <c r="B49" i="10"/>
  <c r="Z49" i="10"/>
  <c r="H59" i="9" l="1"/>
  <c r="D59" i="9"/>
  <c r="H53" i="9"/>
  <c r="AQ49" i="9" l="1"/>
  <c r="AP49" i="9"/>
  <c r="AM49" i="9"/>
  <c r="Z49" i="9"/>
  <c r="L49" i="9"/>
  <c r="V49" i="9"/>
  <c r="G49" i="9"/>
  <c r="C49" i="9"/>
  <c r="I49" i="9"/>
  <c r="AH49" i="9"/>
  <c r="S49" i="9"/>
  <c r="J49" i="9"/>
  <c r="T49" i="9"/>
  <c r="AC49" i="9"/>
  <c r="R49" i="9"/>
  <c r="AI49" i="9"/>
  <c r="F49" i="9"/>
  <c r="AF49" i="9"/>
  <c r="B49" i="9"/>
  <c r="H53" i="8" l="1"/>
  <c r="H59" i="8"/>
  <c r="AJ13" i="4" l="1"/>
  <c r="AJ45" i="4"/>
  <c r="AJ47" i="4"/>
  <c r="AJ50" i="4"/>
  <c r="AR58" i="15"/>
  <c r="AR58" i="14"/>
  <c r="AR58" i="13"/>
  <c r="AR58" i="12"/>
  <c r="AR58" i="11"/>
  <c r="AR58" i="10"/>
  <c r="AR58" i="9"/>
  <c r="AR58" i="1" l="1"/>
  <c r="AR58" i="2"/>
  <c r="AR58" i="4"/>
  <c r="AR58" i="7"/>
  <c r="AR58" i="8"/>
  <c r="D59" i="8"/>
  <c r="L49" i="8"/>
  <c r="Q49" i="7"/>
  <c r="C49" i="8" l="1"/>
  <c r="AQ49" i="8"/>
  <c r="AM49" i="8"/>
  <c r="AC49" i="8"/>
  <c r="AH49" i="8"/>
  <c r="V49" i="8"/>
  <c r="S49" i="8"/>
  <c r="I49" i="8"/>
  <c r="J49" i="8"/>
  <c r="T49" i="8"/>
  <c r="R49" i="8"/>
  <c r="AI49" i="8"/>
  <c r="F49" i="8"/>
  <c r="AP49" i="8"/>
  <c r="AF49" i="8"/>
  <c r="B49" i="8"/>
  <c r="AD49" i="8"/>
  <c r="AQ59" i="7" l="1"/>
  <c r="AP59" i="7"/>
  <c r="AO59" i="7"/>
  <c r="AS24" i="7"/>
  <c r="D59" i="7" l="1"/>
  <c r="C49" i="7"/>
  <c r="AQ49" i="7"/>
  <c r="AM49" i="7"/>
  <c r="AH49" i="7"/>
  <c r="D49" i="7"/>
  <c r="S49" i="7"/>
  <c r="I49" i="7"/>
  <c r="J49" i="7"/>
  <c r="T49" i="7"/>
  <c r="G49" i="7"/>
  <c r="AC49" i="7"/>
  <c r="V49" i="7"/>
  <c r="AI49" i="7"/>
  <c r="F49" i="7"/>
  <c r="L49" i="7"/>
  <c r="AP49" i="7"/>
  <c r="AF49" i="7"/>
  <c r="B49" i="7"/>
  <c r="P49" i="7"/>
  <c r="AS55" i="1" l="1"/>
  <c r="AS55" i="2"/>
  <c r="AS55" i="4"/>
  <c r="AT44" i="4" l="1"/>
  <c r="AT43" i="4"/>
  <c r="AT42" i="4"/>
  <c r="AT41" i="4"/>
  <c r="AT40" i="4"/>
  <c r="AT39" i="4"/>
  <c r="AT38" i="4"/>
  <c r="AT37" i="4"/>
  <c r="AT36" i="4"/>
  <c r="AT35" i="4"/>
  <c r="AT34" i="4"/>
  <c r="AT33" i="4"/>
  <c r="AT32" i="4"/>
  <c r="AT31" i="4"/>
  <c r="AT30" i="4"/>
  <c r="AT29" i="4"/>
  <c r="AT28" i="4"/>
  <c r="AT27" i="4"/>
  <c r="AT26" i="4"/>
  <c r="AT25" i="4"/>
  <c r="AT24" i="4"/>
  <c r="AT23" i="4"/>
  <c r="AT22" i="4"/>
  <c r="AT21" i="4"/>
  <c r="AT20" i="4"/>
  <c r="AT19" i="4"/>
  <c r="AT18" i="4"/>
  <c r="AT17" i="4"/>
  <c r="AT16" i="4"/>
  <c r="AT15" i="4"/>
  <c r="AC59" i="4"/>
  <c r="V49" i="4"/>
  <c r="I49" i="4"/>
  <c r="F49" i="4"/>
  <c r="AP49" i="4"/>
  <c r="AF49" i="4"/>
  <c r="B49" i="4"/>
  <c r="AA49" i="4"/>
  <c r="AI49" i="4"/>
  <c r="C49" i="4"/>
  <c r="AM49" i="4"/>
  <c r="AH49" i="4"/>
  <c r="D49" i="4"/>
  <c r="S49" i="4"/>
  <c r="J49" i="4"/>
  <c r="T49" i="4"/>
  <c r="AC49" i="4"/>
  <c r="R49" i="4"/>
  <c r="L49" i="4"/>
  <c r="AK49" i="4"/>
  <c r="P49" i="4"/>
  <c r="U49" i="4"/>
  <c r="AC59" i="2" l="1"/>
  <c r="M8" i="2" l="1"/>
  <c r="B49" i="2" l="1"/>
  <c r="AP49" i="2"/>
  <c r="P49" i="2"/>
  <c r="L49" i="2"/>
  <c r="V49" i="2"/>
  <c r="M49" i="2"/>
  <c r="C49" i="2"/>
  <c r="I49" i="2"/>
  <c r="AH49" i="2"/>
  <c r="S49" i="2"/>
  <c r="J49" i="2"/>
  <c r="T49" i="2"/>
  <c r="AC49" i="2"/>
  <c r="AI49" i="2" l="1"/>
  <c r="F49" i="2"/>
  <c r="AK49" i="2"/>
  <c r="AF49" i="2"/>
  <c r="AA49" i="2"/>
  <c r="U49" i="2"/>
  <c r="AB8" i="2" l="1"/>
  <c r="P45" i="2"/>
  <c r="Q45" i="2"/>
  <c r="R45" i="2"/>
  <c r="S45" i="2"/>
  <c r="T45" i="2"/>
  <c r="U45" i="2"/>
  <c r="V45" i="2"/>
  <c r="AC59" i="1" l="1"/>
  <c r="AJ8" i="1" l="1"/>
  <c r="AF8" i="1" l="1"/>
  <c r="AB8" i="1"/>
  <c r="U8" i="1"/>
  <c r="Q8" i="1"/>
  <c r="P8" i="1"/>
  <c r="AJ49" i="1" l="1"/>
  <c r="I49" i="1"/>
  <c r="AH49" i="1"/>
  <c r="V49" i="1"/>
  <c r="S49" i="1"/>
  <c r="J49" i="1"/>
  <c r="T49" i="1"/>
  <c r="R49" i="1"/>
  <c r="AI49" i="1"/>
  <c r="F49" i="1"/>
  <c r="AK49" i="1"/>
  <c r="AF49" i="1"/>
  <c r="B49" i="1"/>
  <c r="AA49" i="1"/>
  <c r="P49" i="1"/>
  <c r="U49" i="1"/>
  <c r="AP49" i="1" l="1"/>
  <c r="AM49" i="1"/>
  <c r="N49" i="1"/>
  <c r="L49" i="1"/>
  <c r="M49" i="1"/>
  <c r="E49" i="1"/>
  <c r="Q49" i="1"/>
  <c r="C49" i="1"/>
  <c r="AR49" i="1" l="1"/>
  <c r="AM45" i="1"/>
  <c r="AN50" i="1"/>
  <c r="AO45" i="1"/>
  <c r="AP45" i="1"/>
  <c r="AQ45" i="1"/>
  <c r="AR45" i="1"/>
  <c r="AM13" i="1"/>
  <c r="AN13" i="1"/>
  <c r="AO13" i="1"/>
  <c r="AO47" i="1" s="1"/>
  <c r="AO50" i="1" s="1"/>
  <c r="AO59" i="1" s="1"/>
  <c r="AP13" i="1"/>
  <c r="AQ13" i="1"/>
  <c r="AQ47" i="1" s="1"/>
  <c r="AQ50" i="1" s="1"/>
  <c r="AQ59" i="1" s="1"/>
  <c r="AR13" i="1"/>
  <c r="AS13" i="1"/>
  <c r="AM45" i="2"/>
  <c r="AN45" i="2"/>
  <c r="AO45" i="2"/>
  <c r="AP45" i="2"/>
  <c r="AQ45" i="2"/>
  <c r="AR45" i="2"/>
  <c r="AM13" i="2"/>
  <c r="AN13" i="2"/>
  <c r="AN47" i="2" s="1"/>
  <c r="AN50" i="2" s="1"/>
  <c r="AO13" i="2"/>
  <c r="AP13" i="2"/>
  <c r="AP47" i="2" s="1"/>
  <c r="AP50" i="2" s="1"/>
  <c r="AP59" i="2" s="1"/>
  <c r="AQ13" i="2"/>
  <c r="AM45" i="4"/>
  <c r="AN45" i="4"/>
  <c r="AO45" i="4"/>
  <c r="AP45" i="4"/>
  <c r="AQ45" i="4"/>
  <c r="AM13" i="4"/>
  <c r="AN13" i="4"/>
  <c r="AO13" i="4"/>
  <c r="AP13" i="4"/>
  <c r="AQ13" i="4"/>
  <c r="AN45" i="7"/>
  <c r="AO45" i="7"/>
  <c r="AP45" i="7"/>
  <c r="AQ45" i="7"/>
  <c r="AN13" i="7"/>
  <c r="AN47" i="7" s="1"/>
  <c r="AN50" i="7" s="1"/>
  <c r="AO13" i="7"/>
  <c r="AO47" i="7" s="1"/>
  <c r="AO50" i="7" s="1"/>
  <c r="AP13" i="7"/>
  <c r="AP47" i="7" s="1"/>
  <c r="AP50" i="7" s="1"/>
  <c r="AQ13" i="7"/>
  <c r="AQ47" i="7" s="1"/>
  <c r="AQ50" i="7" s="1"/>
  <c r="AN45" i="8"/>
  <c r="AO45" i="8"/>
  <c r="AP45" i="8"/>
  <c r="AQ45" i="8"/>
  <c r="AN13" i="8"/>
  <c r="AN47" i="8" s="1"/>
  <c r="AN50" i="8" s="1"/>
  <c r="AO13" i="8"/>
  <c r="AO47" i="8" s="1"/>
  <c r="AO50" i="8" s="1"/>
  <c r="AO59" i="8" s="1"/>
  <c r="AP13" i="8"/>
  <c r="AP47" i="8" s="1"/>
  <c r="AP50" i="8" s="1"/>
  <c r="AP59" i="8" s="1"/>
  <c r="AQ13" i="8"/>
  <c r="AQ47" i="8" s="1"/>
  <c r="AQ50" i="8" s="1"/>
  <c r="AQ59" i="8" s="1"/>
  <c r="AR13" i="8"/>
  <c r="AO45" i="9"/>
  <c r="AP45" i="9"/>
  <c r="AQ45" i="9"/>
  <c r="AR45" i="9"/>
  <c r="AN13" i="9"/>
  <c r="AO13" i="9"/>
  <c r="AP13" i="9"/>
  <c r="AP47" i="9" s="1"/>
  <c r="AP50" i="9" s="1"/>
  <c r="AP59" i="9" s="1"/>
  <c r="AQ13" i="9"/>
  <c r="AR13" i="9"/>
  <c r="AR47" i="9" s="1"/>
  <c r="AR50" i="9" s="1"/>
  <c r="AS13" i="9"/>
  <c r="AO45" i="10"/>
  <c r="AP45" i="10"/>
  <c r="AQ45" i="10"/>
  <c r="AR45" i="10"/>
  <c r="AO13" i="10"/>
  <c r="AO47" i="10" s="1"/>
  <c r="AO50" i="10" s="1"/>
  <c r="AO59" i="10" s="1"/>
  <c r="AP13" i="10"/>
  <c r="AP47" i="10" s="1"/>
  <c r="AP50" i="10" s="1"/>
  <c r="AP59" i="10" s="1"/>
  <c r="AQ13" i="10"/>
  <c r="AQ47" i="10" s="1"/>
  <c r="AQ50" i="10" s="1"/>
  <c r="AQ59" i="10" s="1"/>
  <c r="AR13" i="10"/>
  <c r="AR47" i="10" s="1"/>
  <c r="AR50" i="10" s="1"/>
  <c r="AO45" i="11"/>
  <c r="AP45" i="11"/>
  <c r="AQ45" i="11"/>
  <c r="AR45" i="11"/>
  <c r="AO13" i="11"/>
  <c r="AO47" i="11" s="1"/>
  <c r="AO50" i="11" s="1"/>
  <c r="AO59" i="11" s="1"/>
  <c r="AP13" i="11"/>
  <c r="AP47" i="11" s="1"/>
  <c r="AP50" i="11" s="1"/>
  <c r="AP59" i="11" s="1"/>
  <c r="AQ13" i="11"/>
  <c r="AQ47" i="11" s="1"/>
  <c r="AQ50" i="11" s="1"/>
  <c r="AQ59" i="11" s="1"/>
  <c r="AR13" i="11"/>
  <c r="AR47" i="11" s="1"/>
  <c r="AR50" i="11" s="1"/>
  <c r="AS13" i="11"/>
  <c r="AQ47" i="9" l="1"/>
  <c r="AQ50" i="9" s="1"/>
  <c r="AQ59" i="9" s="1"/>
  <c r="AO47" i="9"/>
  <c r="AO50" i="9" s="1"/>
  <c r="AO59" i="9" s="1"/>
  <c r="AP47" i="4"/>
  <c r="AP50" i="4" s="1"/>
  <c r="AP59" i="4" s="1"/>
  <c r="AN47" i="4"/>
  <c r="AN50" i="4" s="1"/>
  <c r="AQ47" i="4"/>
  <c r="AQ50" i="4" s="1"/>
  <c r="AQ59" i="4" s="1"/>
  <c r="AO47" i="4"/>
  <c r="AO50" i="4" s="1"/>
  <c r="AO59" i="4" s="1"/>
  <c r="AM47" i="4"/>
  <c r="AM50" i="4" s="1"/>
  <c r="AQ47" i="2"/>
  <c r="AQ50" i="2" s="1"/>
  <c r="AQ59" i="2" s="1"/>
  <c r="AO47" i="2"/>
  <c r="AO50" i="2" s="1"/>
  <c r="AO59" i="2" s="1"/>
  <c r="AM47" i="2"/>
  <c r="AM50" i="2" s="1"/>
  <c r="AP47" i="1"/>
  <c r="AP50" i="1" s="1"/>
  <c r="AP59" i="1" s="1"/>
  <c r="AQ45" i="12"/>
  <c r="AQ13" i="12"/>
  <c r="AQ13" i="15"/>
  <c r="AQ47" i="12" l="1"/>
  <c r="AQ50" i="12" s="1"/>
  <c r="AQ59" i="12" s="1"/>
  <c r="AT56" i="15" l="1"/>
  <c r="AT55" i="15"/>
  <c r="AT54" i="15"/>
  <c r="AT49" i="15"/>
  <c r="AS45" i="15"/>
  <c r="AR45" i="15"/>
  <c r="AQ45" i="15"/>
  <c r="AQ47" i="15" s="1"/>
  <c r="AQ50" i="15" s="1"/>
  <c r="AQ59" i="15" s="1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T44" i="15"/>
  <c r="AT43" i="15"/>
  <c r="AT42" i="15"/>
  <c r="AT41" i="15"/>
  <c r="AT40" i="15"/>
  <c r="AT39" i="15"/>
  <c r="AT38" i="15"/>
  <c r="AT37" i="15"/>
  <c r="AT36" i="15"/>
  <c r="AT35" i="15"/>
  <c r="AT34" i="15"/>
  <c r="AT33" i="15"/>
  <c r="AT32" i="15"/>
  <c r="AT31" i="15"/>
  <c r="AT30" i="15"/>
  <c r="AT29" i="15"/>
  <c r="AT28" i="15"/>
  <c r="AT27" i="15"/>
  <c r="AT26" i="15"/>
  <c r="AT25" i="15"/>
  <c r="AT24" i="15"/>
  <c r="AT23" i="15"/>
  <c r="AT22" i="15"/>
  <c r="AT21" i="15"/>
  <c r="AT20" i="15"/>
  <c r="AT19" i="15"/>
  <c r="AT18" i="15"/>
  <c r="AT17" i="15"/>
  <c r="AT16" i="15"/>
  <c r="AT15" i="15"/>
  <c r="AS13" i="15"/>
  <c r="AS47" i="15" s="1"/>
  <c r="AS50" i="15" s="1"/>
  <c r="AR13" i="15"/>
  <c r="AR47" i="15" s="1"/>
  <c r="AR50" i="15" s="1"/>
  <c r="AP13" i="15"/>
  <c r="AP47" i="15" s="1"/>
  <c r="AP50" i="15" s="1"/>
  <c r="AP59" i="15" s="1"/>
  <c r="AO13" i="15"/>
  <c r="AO47" i="15" s="1"/>
  <c r="AO50" i="15" s="1"/>
  <c r="AO59" i="15" s="1"/>
  <c r="AN13" i="15"/>
  <c r="AN47" i="15" s="1"/>
  <c r="AN50" i="15" s="1"/>
  <c r="AM13" i="15"/>
  <c r="AM47" i="15" s="1"/>
  <c r="AM50" i="15" s="1"/>
  <c r="AM59" i="15" s="1"/>
  <c r="AL13" i="15"/>
  <c r="AK13" i="15"/>
  <c r="AK47" i="15" s="1"/>
  <c r="AK50" i="15" s="1"/>
  <c r="AK59" i="15" s="1"/>
  <c r="AJ13" i="15"/>
  <c r="AJ47" i="15" s="1"/>
  <c r="AJ50" i="15" s="1"/>
  <c r="AI13" i="15"/>
  <c r="AI47" i="15" s="1"/>
  <c r="AI50" i="15" s="1"/>
  <c r="AI59" i="15" s="1"/>
  <c r="AH13" i="15"/>
  <c r="AG13" i="15"/>
  <c r="AG47" i="15" s="1"/>
  <c r="AG50" i="15" s="1"/>
  <c r="AF13" i="15"/>
  <c r="AF47" i="15" s="1"/>
  <c r="AF50" i="15" s="1"/>
  <c r="AF59" i="15" s="1"/>
  <c r="AE13" i="15"/>
  <c r="AE47" i="15" s="1"/>
  <c r="AE50" i="15" s="1"/>
  <c r="AE59" i="15" s="1"/>
  <c r="AD13" i="15"/>
  <c r="AD47" i="15" s="1"/>
  <c r="AD50" i="15" s="1"/>
  <c r="AD59" i="15" s="1"/>
  <c r="AC13" i="15"/>
  <c r="AC47" i="15" s="1"/>
  <c r="AC50" i="15" s="1"/>
  <c r="AB13" i="15"/>
  <c r="AB47" i="15" s="1"/>
  <c r="AB50" i="15" s="1"/>
  <c r="AB59" i="15" s="1"/>
  <c r="AA13" i="15"/>
  <c r="AA47" i="15" s="1"/>
  <c r="AA50" i="15" s="1"/>
  <c r="Z13" i="15"/>
  <c r="Z47" i="15" s="1"/>
  <c r="Z50" i="15" s="1"/>
  <c r="Y13" i="15"/>
  <c r="Y47" i="15" s="1"/>
  <c r="Y50" i="15" s="1"/>
  <c r="X13" i="15"/>
  <c r="X47" i="15" s="1"/>
  <c r="X50" i="15" s="1"/>
  <c r="W13" i="15"/>
  <c r="W47" i="15" s="1"/>
  <c r="W50" i="15" s="1"/>
  <c r="V13" i="15"/>
  <c r="V47" i="15" s="1"/>
  <c r="V50" i="15" s="1"/>
  <c r="U13" i="15"/>
  <c r="U47" i="15" s="1"/>
  <c r="U50" i="15" s="1"/>
  <c r="T13" i="15"/>
  <c r="T47" i="15" s="1"/>
  <c r="T50" i="15" s="1"/>
  <c r="T59" i="15" s="1"/>
  <c r="S13" i="15"/>
  <c r="S47" i="15" s="1"/>
  <c r="S50" i="15" s="1"/>
  <c r="S59" i="15" s="1"/>
  <c r="R13" i="15"/>
  <c r="R47" i="15" s="1"/>
  <c r="R50" i="15" s="1"/>
  <c r="R59" i="15" s="1"/>
  <c r="Q13" i="15"/>
  <c r="Q47" i="15" s="1"/>
  <c r="Q50" i="15" s="1"/>
  <c r="P13" i="15"/>
  <c r="P47" i="15" s="1"/>
  <c r="P50" i="15" s="1"/>
  <c r="O13" i="15"/>
  <c r="O47" i="15" s="1"/>
  <c r="O50" i="15" s="1"/>
  <c r="N13" i="15"/>
  <c r="N47" i="15" s="1"/>
  <c r="N50" i="15" s="1"/>
  <c r="M13" i="15"/>
  <c r="M47" i="15" s="1"/>
  <c r="M50" i="15" s="1"/>
  <c r="M59" i="15" s="1"/>
  <c r="L13" i="15"/>
  <c r="L47" i="15" s="1"/>
  <c r="L50" i="15" s="1"/>
  <c r="L59" i="15" s="1"/>
  <c r="K13" i="15"/>
  <c r="K47" i="15" s="1"/>
  <c r="K50" i="15" s="1"/>
  <c r="K59" i="15" s="1"/>
  <c r="J13" i="15"/>
  <c r="J47" i="15" s="1"/>
  <c r="J50" i="15" s="1"/>
  <c r="J59" i="15" s="1"/>
  <c r="I13" i="15"/>
  <c r="I47" i="15" s="1"/>
  <c r="I50" i="15" s="1"/>
  <c r="I59" i="15" s="1"/>
  <c r="H13" i="15"/>
  <c r="H47" i="15" s="1"/>
  <c r="H50" i="15" s="1"/>
  <c r="G13" i="15"/>
  <c r="G47" i="15" s="1"/>
  <c r="G50" i="15" s="1"/>
  <c r="F13" i="15"/>
  <c r="F47" i="15" s="1"/>
  <c r="F50" i="15" s="1"/>
  <c r="F59" i="15" s="1"/>
  <c r="E13" i="15"/>
  <c r="E47" i="15" s="1"/>
  <c r="E50" i="15" s="1"/>
  <c r="D13" i="15"/>
  <c r="D47" i="15" s="1"/>
  <c r="D50" i="15" s="1"/>
  <c r="D53" i="15" s="1"/>
  <c r="C13" i="15"/>
  <c r="C47" i="15" s="1"/>
  <c r="C50" i="15" s="1"/>
  <c r="C59" i="15" s="1"/>
  <c r="B13" i="15"/>
  <c r="B47" i="15" s="1"/>
  <c r="AT12" i="15"/>
  <c r="AT11" i="15"/>
  <c r="AT10" i="15"/>
  <c r="AT9" i="15"/>
  <c r="AT8" i="15"/>
  <c r="AT13" i="15" s="1"/>
  <c r="AL47" i="15" l="1"/>
  <c r="AL50" i="15" s="1"/>
  <c r="AL53" i="15" s="1"/>
  <c r="AH47" i="15"/>
  <c r="AH50" i="15" s="1"/>
  <c r="AH59" i="15" s="1"/>
  <c r="AT45" i="15"/>
  <c r="AU23" i="15" s="1"/>
  <c r="AU12" i="15"/>
  <c r="AU11" i="15"/>
  <c r="AU9" i="15"/>
  <c r="AU10" i="15"/>
  <c r="AU8" i="15"/>
  <c r="E59" i="15"/>
  <c r="E53" i="15"/>
  <c r="B50" i="15"/>
  <c r="B59" i="15" s="1"/>
  <c r="V59" i="15"/>
  <c r="V53" i="15"/>
  <c r="Z53" i="15"/>
  <c r="Z59" i="15"/>
  <c r="AJ53" i="15"/>
  <c r="AN53" i="15"/>
  <c r="AN59" i="15"/>
  <c r="AU39" i="15"/>
  <c r="AU43" i="15"/>
  <c r="G53" i="15"/>
  <c r="G59" i="15"/>
  <c r="AA59" i="15"/>
  <c r="AA53" i="15"/>
  <c r="AC59" i="15"/>
  <c r="AC53" i="15"/>
  <c r="AU32" i="15"/>
  <c r="AU36" i="15"/>
  <c r="AU40" i="15"/>
  <c r="AU44" i="15"/>
  <c r="AQ45" i="14"/>
  <c r="AQ47" i="14" s="1"/>
  <c r="AQ50" i="14" s="1"/>
  <c r="AQ59" i="14" s="1"/>
  <c r="AR45" i="14"/>
  <c r="AU35" i="15" l="1"/>
  <c r="AU31" i="15"/>
  <c r="AU18" i="15"/>
  <c r="AU26" i="15"/>
  <c r="AU25" i="15"/>
  <c r="AT47" i="15"/>
  <c r="AU22" i="15"/>
  <c r="AU29" i="15"/>
  <c r="AU19" i="15"/>
  <c r="AU42" i="15"/>
  <c r="AU38" i="15"/>
  <c r="AU34" i="15"/>
  <c r="AU30" i="15"/>
  <c r="AU41" i="15"/>
  <c r="AU37" i="15"/>
  <c r="AU33" i="15"/>
  <c r="AU15" i="15"/>
  <c r="AU28" i="15"/>
  <c r="AU24" i="15"/>
  <c r="AU20" i="15"/>
  <c r="AU16" i="15"/>
  <c r="AU27" i="15"/>
  <c r="AU21" i="15"/>
  <c r="AU17" i="15"/>
  <c r="AT53" i="15"/>
  <c r="AT50" i="15" s="1"/>
  <c r="AT52" i="15" s="1"/>
  <c r="AU13" i="15"/>
  <c r="AT56" i="14"/>
  <c r="AT55" i="14"/>
  <c r="AT54" i="14"/>
  <c r="AT49" i="14"/>
  <c r="AS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T44" i="14"/>
  <c r="AT43" i="14"/>
  <c r="AT42" i="14"/>
  <c r="AT41" i="14"/>
  <c r="AT40" i="14"/>
  <c r="AT39" i="14"/>
  <c r="AT38" i="14"/>
  <c r="AT37" i="14"/>
  <c r="AT36" i="14"/>
  <c r="AT35" i="14"/>
  <c r="AT34" i="14"/>
  <c r="AT33" i="14"/>
  <c r="AT32" i="14"/>
  <c r="AT31" i="14"/>
  <c r="AT30" i="14"/>
  <c r="AT29" i="14"/>
  <c r="AT28" i="14"/>
  <c r="AT27" i="14"/>
  <c r="AT26" i="14"/>
  <c r="AT25" i="14"/>
  <c r="AT24" i="14"/>
  <c r="AT23" i="14"/>
  <c r="AT22" i="14"/>
  <c r="AT21" i="14"/>
  <c r="AT20" i="14"/>
  <c r="AT19" i="14"/>
  <c r="AT18" i="14"/>
  <c r="AT17" i="14"/>
  <c r="AT16" i="14"/>
  <c r="AT15" i="14"/>
  <c r="AS13" i="14"/>
  <c r="AS47" i="14" s="1"/>
  <c r="AS50" i="14" s="1"/>
  <c r="AR13" i="14"/>
  <c r="AR47" i="14" s="1"/>
  <c r="AP13" i="14"/>
  <c r="AP47" i="14" s="1"/>
  <c r="AP50" i="14" s="1"/>
  <c r="AP59" i="14" s="1"/>
  <c r="AO13" i="14"/>
  <c r="AO47" i="14" s="1"/>
  <c r="AO50" i="14" s="1"/>
  <c r="AO59" i="14" s="1"/>
  <c r="AN13" i="14"/>
  <c r="AN47" i="14" s="1"/>
  <c r="AN50" i="14" s="1"/>
  <c r="AM13" i="14"/>
  <c r="AM47" i="14" s="1"/>
  <c r="AM50" i="14" s="1"/>
  <c r="AM59" i="14" s="1"/>
  <c r="AL13" i="14"/>
  <c r="AL47" i="14" s="1"/>
  <c r="AL50" i="14" s="1"/>
  <c r="AK13" i="14"/>
  <c r="AK47" i="14" s="1"/>
  <c r="AK50" i="14" s="1"/>
  <c r="AK59" i="14" s="1"/>
  <c r="AJ13" i="14"/>
  <c r="AJ47" i="14" s="1"/>
  <c r="AJ50" i="14" s="1"/>
  <c r="AI13" i="14"/>
  <c r="AI47" i="14" s="1"/>
  <c r="AI50" i="14" s="1"/>
  <c r="AI59" i="14" s="1"/>
  <c r="AH13" i="14"/>
  <c r="AH47" i="14" s="1"/>
  <c r="AH50" i="14" s="1"/>
  <c r="AH59" i="14" s="1"/>
  <c r="AG13" i="14"/>
  <c r="AG47" i="14" s="1"/>
  <c r="AG50" i="14" s="1"/>
  <c r="AG53" i="14" s="1"/>
  <c r="AF13" i="14"/>
  <c r="AE13" i="14"/>
  <c r="AE47" i="14" s="1"/>
  <c r="AE50" i="14" s="1"/>
  <c r="AE59" i="14" s="1"/>
  <c r="AD13" i="14"/>
  <c r="AD47" i="14" s="1"/>
  <c r="AD50" i="14" s="1"/>
  <c r="AC13" i="14"/>
  <c r="AB13" i="14"/>
  <c r="AB47" i="14" s="1"/>
  <c r="AB50" i="14" s="1"/>
  <c r="AA13" i="14"/>
  <c r="Z13" i="14"/>
  <c r="Z47" i="14" s="1"/>
  <c r="Z50" i="14" s="1"/>
  <c r="Y13" i="14"/>
  <c r="Y47" i="14" s="1"/>
  <c r="Y50" i="14" s="1"/>
  <c r="Y53" i="14" s="1"/>
  <c r="X13" i="14"/>
  <c r="X47" i="14" s="1"/>
  <c r="X50" i="14" s="1"/>
  <c r="W13" i="14"/>
  <c r="W47" i="14" s="1"/>
  <c r="W50" i="14" s="1"/>
  <c r="V13" i="14"/>
  <c r="V47" i="14" s="1"/>
  <c r="V50" i="14" s="1"/>
  <c r="U13" i="14"/>
  <c r="U47" i="14" s="1"/>
  <c r="U50" i="14" s="1"/>
  <c r="T13" i="14"/>
  <c r="T47" i="14" s="1"/>
  <c r="T50" i="14" s="1"/>
  <c r="T59" i="14" s="1"/>
  <c r="S13" i="14"/>
  <c r="S47" i="14" s="1"/>
  <c r="S50" i="14" s="1"/>
  <c r="S59" i="14" s="1"/>
  <c r="R13" i="14"/>
  <c r="R47" i="14" s="1"/>
  <c r="R50" i="14" s="1"/>
  <c r="R59" i="14" s="1"/>
  <c r="Q13" i="14"/>
  <c r="Q47" i="14" s="1"/>
  <c r="Q50" i="14" s="1"/>
  <c r="P13" i="14"/>
  <c r="P47" i="14" s="1"/>
  <c r="P50" i="14" s="1"/>
  <c r="O13" i="14"/>
  <c r="O47" i="14" s="1"/>
  <c r="O50" i="14" s="1"/>
  <c r="N13" i="14"/>
  <c r="M13" i="14"/>
  <c r="M47" i="14" s="1"/>
  <c r="M50" i="14" s="1"/>
  <c r="M59" i="14" s="1"/>
  <c r="L13" i="14"/>
  <c r="K13" i="14"/>
  <c r="K47" i="14" s="1"/>
  <c r="K50" i="14" s="1"/>
  <c r="K59" i="14" s="1"/>
  <c r="J13" i="14"/>
  <c r="I13" i="14"/>
  <c r="I47" i="14" s="1"/>
  <c r="I50" i="14" s="1"/>
  <c r="I59" i="14" s="1"/>
  <c r="H13" i="14"/>
  <c r="H47" i="14" s="1"/>
  <c r="H50" i="14" s="1"/>
  <c r="G13" i="14"/>
  <c r="F13" i="14"/>
  <c r="E13" i="14"/>
  <c r="D13" i="14"/>
  <c r="D47" i="14" s="1"/>
  <c r="D50" i="14" s="1"/>
  <c r="C13" i="14"/>
  <c r="C47" i="14" s="1"/>
  <c r="C50" i="14" s="1"/>
  <c r="C59" i="14" s="1"/>
  <c r="B13" i="14"/>
  <c r="AT12" i="14"/>
  <c r="AT11" i="14"/>
  <c r="AT10" i="14"/>
  <c r="AT9" i="14"/>
  <c r="AT8" i="14"/>
  <c r="F47" i="14" l="1"/>
  <c r="F50" i="14" s="1"/>
  <c r="F59" i="14" s="1"/>
  <c r="AT13" i="14"/>
  <c r="AU11" i="14" s="1"/>
  <c r="AU45" i="15"/>
  <c r="AR50" i="14"/>
  <c r="AF47" i="14"/>
  <c r="AF50" i="14" s="1"/>
  <c r="AF59" i="14" s="1"/>
  <c r="AA47" i="14"/>
  <c r="AA50" i="14" s="1"/>
  <c r="AA53" i="14" s="1"/>
  <c r="AC47" i="14"/>
  <c r="AC50" i="14" s="1"/>
  <c r="AC53" i="14" s="1"/>
  <c r="J47" i="14"/>
  <c r="J50" i="14" s="1"/>
  <c r="J59" i="14" s="1"/>
  <c r="L47" i="14"/>
  <c r="L50" i="14" s="1"/>
  <c r="L59" i="14" s="1"/>
  <c r="N47" i="14"/>
  <c r="N50" i="14" s="1"/>
  <c r="E47" i="14"/>
  <c r="E50" i="14" s="1"/>
  <c r="E59" i="14" s="1"/>
  <c r="G47" i="14"/>
  <c r="G50" i="14" s="1"/>
  <c r="G53" i="14" s="1"/>
  <c r="AT45" i="14"/>
  <c r="AU18" i="14" s="1"/>
  <c r="B47" i="14"/>
  <c r="B50" i="14" s="1"/>
  <c r="B59" i="14" s="1"/>
  <c r="AU8" i="14"/>
  <c r="W53" i="14"/>
  <c r="V53" i="14"/>
  <c r="V59" i="14"/>
  <c r="Z59" i="14"/>
  <c r="Z53" i="14"/>
  <c r="AJ53" i="14"/>
  <c r="AL53" i="14"/>
  <c r="AN59" i="14"/>
  <c r="AU10" i="14" l="1"/>
  <c r="AU12" i="14"/>
  <c r="AU9" i="14"/>
  <c r="AA59" i="14"/>
  <c r="E53" i="14"/>
  <c r="AT53" i="14" s="1"/>
  <c r="AT50" i="14" s="1"/>
  <c r="AT52" i="14" s="1"/>
  <c r="G59" i="14"/>
  <c r="AC59" i="14"/>
  <c r="AU41" i="14"/>
  <c r="AU20" i="14"/>
  <c r="AU33" i="14"/>
  <c r="AU34" i="14"/>
  <c r="AU23" i="14"/>
  <c r="AU37" i="14"/>
  <c r="AU15" i="14"/>
  <c r="AU42" i="14"/>
  <c r="AU28" i="14"/>
  <c r="AU38" i="14"/>
  <c r="AU30" i="14"/>
  <c r="AU27" i="14"/>
  <c r="AU19" i="14"/>
  <c r="AU24" i="14"/>
  <c r="AU16" i="14"/>
  <c r="AU43" i="14"/>
  <c r="AU39" i="14"/>
  <c r="AU35" i="14"/>
  <c r="AU31" i="14"/>
  <c r="AT47" i="14"/>
  <c r="AU44" i="14"/>
  <c r="AU40" i="14"/>
  <c r="AU36" i="14"/>
  <c r="AU32" i="14"/>
  <c r="AU29" i="14"/>
  <c r="AU25" i="14"/>
  <c r="AU21" i="14"/>
  <c r="AU17" i="14"/>
  <c r="AU26" i="14"/>
  <c r="AU22" i="14"/>
  <c r="AU13" i="14"/>
  <c r="AT56" i="13"/>
  <c r="AT55" i="13"/>
  <c r="AT54" i="13"/>
  <c r="AT49" i="13"/>
  <c r="AS45" i="13"/>
  <c r="AR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T44" i="13"/>
  <c r="AT43" i="13"/>
  <c r="AT42" i="13"/>
  <c r="AT41" i="13"/>
  <c r="AT40" i="13"/>
  <c r="AT39" i="13"/>
  <c r="AT38" i="13"/>
  <c r="AT37" i="13"/>
  <c r="AT36" i="13"/>
  <c r="AT35" i="13"/>
  <c r="AT34" i="13"/>
  <c r="AT33" i="13"/>
  <c r="AT32" i="13"/>
  <c r="AT31" i="13"/>
  <c r="AT30" i="13"/>
  <c r="AT29" i="13"/>
  <c r="AT28" i="13"/>
  <c r="AT27" i="13"/>
  <c r="AT26" i="13"/>
  <c r="AT25" i="13"/>
  <c r="AT24" i="13"/>
  <c r="AT23" i="13"/>
  <c r="AT22" i="13"/>
  <c r="AT21" i="13"/>
  <c r="AT20" i="13"/>
  <c r="AT19" i="13"/>
  <c r="AT18" i="13"/>
  <c r="AT17" i="13"/>
  <c r="AT16" i="13"/>
  <c r="AT15" i="13"/>
  <c r="AS13" i="13"/>
  <c r="AS47" i="13" s="1"/>
  <c r="AS50" i="13" s="1"/>
  <c r="AR13" i="13"/>
  <c r="AR47" i="13" s="1"/>
  <c r="AR50" i="13" s="1"/>
  <c r="AP13" i="13"/>
  <c r="AP47" i="13" s="1"/>
  <c r="AP50" i="13" s="1"/>
  <c r="AP59" i="13" s="1"/>
  <c r="AO13" i="13"/>
  <c r="AO47" i="13" s="1"/>
  <c r="AO50" i="13" s="1"/>
  <c r="AO59" i="13" s="1"/>
  <c r="AN13" i="13"/>
  <c r="AN47" i="13" s="1"/>
  <c r="AN50" i="13" s="1"/>
  <c r="AM13" i="13"/>
  <c r="AM47" i="13" s="1"/>
  <c r="AM50" i="13" s="1"/>
  <c r="AM59" i="13" s="1"/>
  <c r="AL13" i="13"/>
  <c r="AL47" i="13" s="1"/>
  <c r="AL50" i="13" s="1"/>
  <c r="AK13" i="13"/>
  <c r="AK47" i="13" s="1"/>
  <c r="AK50" i="13" s="1"/>
  <c r="AK59" i="13" s="1"/>
  <c r="AJ13" i="13"/>
  <c r="AJ47" i="13" s="1"/>
  <c r="AJ50" i="13" s="1"/>
  <c r="AI13" i="13"/>
  <c r="AI47" i="13" s="1"/>
  <c r="AI50" i="13" s="1"/>
  <c r="AI59" i="13" s="1"/>
  <c r="AH13" i="13"/>
  <c r="AH47" i="13" s="1"/>
  <c r="AH50" i="13" s="1"/>
  <c r="AH59" i="13" s="1"/>
  <c r="AG13" i="13"/>
  <c r="AG47" i="13" s="1"/>
  <c r="AG50" i="13" s="1"/>
  <c r="AF13" i="13"/>
  <c r="AE13" i="13"/>
  <c r="AD13" i="13"/>
  <c r="AC13" i="13"/>
  <c r="AB13" i="13"/>
  <c r="AA13" i="13"/>
  <c r="Z13" i="13"/>
  <c r="Y13" i="13"/>
  <c r="Y47" i="13" s="1"/>
  <c r="Y50" i="13" s="1"/>
  <c r="X13" i="13"/>
  <c r="X47" i="13" s="1"/>
  <c r="X50" i="13" s="1"/>
  <c r="W13" i="13"/>
  <c r="W47" i="13" s="1"/>
  <c r="W50" i="13" s="1"/>
  <c r="V13" i="13"/>
  <c r="U13" i="13"/>
  <c r="U47" i="13" s="1"/>
  <c r="U50" i="13" s="1"/>
  <c r="T13" i="13"/>
  <c r="S13" i="13"/>
  <c r="S47" i="13" s="1"/>
  <c r="S50" i="13" s="1"/>
  <c r="S59" i="13" s="1"/>
  <c r="R13" i="13"/>
  <c r="Q13" i="13"/>
  <c r="Q47" i="13" s="1"/>
  <c r="Q50" i="13" s="1"/>
  <c r="P13" i="13"/>
  <c r="O13" i="13"/>
  <c r="O47" i="13" s="1"/>
  <c r="O50" i="13" s="1"/>
  <c r="N13" i="13"/>
  <c r="N47" i="13" s="1"/>
  <c r="N50" i="13" s="1"/>
  <c r="L13" i="13"/>
  <c r="L47" i="13" s="1"/>
  <c r="L50" i="13" s="1"/>
  <c r="L59" i="13" s="1"/>
  <c r="K13" i="13"/>
  <c r="K47" i="13" s="1"/>
  <c r="K50" i="13" s="1"/>
  <c r="K59" i="13" s="1"/>
  <c r="J13" i="13"/>
  <c r="J47" i="13" s="1"/>
  <c r="J50" i="13" s="1"/>
  <c r="J59" i="13" s="1"/>
  <c r="I13" i="13"/>
  <c r="I47" i="13" s="1"/>
  <c r="I50" i="13" s="1"/>
  <c r="I59" i="13" s="1"/>
  <c r="H13" i="13"/>
  <c r="H47" i="13" s="1"/>
  <c r="H50" i="13" s="1"/>
  <c r="G13" i="13"/>
  <c r="G47" i="13" s="1"/>
  <c r="G50" i="13" s="1"/>
  <c r="F13" i="13"/>
  <c r="F47" i="13" s="1"/>
  <c r="F50" i="13" s="1"/>
  <c r="F59" i="13" s="1"/>
  <c r="E13" i="13"/>
  <c r="E47" i="13" s="1"/>
  <c r="E50" i="13" s="1"/>
  <c r="D13" i="13"/>
  <c r="D47" i="13" s="1"/>
  <c r="D50" i="13" s="1"/>
  <c r="C13" i="13"/>
  <c r="C47" i="13" s="1"/>
  <c r="C50" i="13" s="1"/>
  <c r="C59" i="13" s="1"/>
  <c r="B13" i="13"/>
  <c r="B47" i="13" s="1"/>
  <c r="AT12" i="13"/>
  <c r="AT11" i="13"/>
  <c r="AT10" i="13"/>
  <c r="AT9" i="13"/>
  <c r="AT8" i="13"/>
  <c r="AN59" i="4"/>
  <c r="AM59" i="4"/>
  <c r="AM59" i="2"/>
  <c r="AU45" i="14" l="1"/>
  <c r="Z47" i="13"/>
  <c r="Z50" i="13" s="1"/>
  <c r="Z53" i="13" s="1"/>
  <c r="AB47" i="13"/>
  <c r="AB50" i="13" s="1"/>
  <c r="AD47" i="13"/>
  <c r="AD50" i="13" s="1"/>
  <c r="AF47" i="13"/>
  <c r="AF50" i="13" s="1"/>
  <c r="AF59" i="13" s="1"/>
  <c r="AA47" i="13"/>
  <c r="AA50" i="13" s="1"/>
  <c r="AA53" i="13" s="1"/>
  <c r="AC47" i="13"/>
  <c r="AC50" i="13" s="1"/>
  <c r="AC59" i="13" s="1"/>
  <c r="AE47" i="13"/>
  <c r="AE50" i="13" s="1"/>
  <c r="AE59" i="13" s="1"/>
  <c r="AT45" i="13"/>
  <c r="AU17" i="13" s="1"/>
  <c r="P47" i="13"/>
  <c r="P50" i="13" s="1"/>
  <c r="R47" i="13"/>
  <c r="R50" i="13" s="1"/>
  <c r="R59" i="13" s="1"/>
  <c r="T47" i="13"/>
  <c r="T50" i="13" s="1"/>
  <c r="T59" i="13" s="1"/>
  <c r="V47" i="13"/>
  <c r="V50" i="13" s="1"/>
  <c r="V59" i="13" s="1"/>
  <c r="AT13" i="13"/>
  <c r="AU8" i="13" s="1"/>
  <c r="G59" i="13"/>
  <c r="G53" i="13"/>
  <c r="M13" i="13"/>
  <c r="M47" i="13" s="1"/>
  <c r="M50" i="13" s="1"/>
  <c r="M59" i="13" s="1"/>
  <c r="E53" i="13"/>
  <c r="E59" i="13"/>
  <c r="AG53" i="13"/>
  <c r="B50" i="13"/>
  <c r="B59" i="13" s="1"/>
  <c r="AJ53" i="13"/>
  <c r="AL53" i="13"/>
  <c r="AN59" i="13"/>
  <c r="AU34" i="13"/>
  <c r="AN59" i="1"/>
  <c r="AA59" i="13" l="1"/>
  <c r="Z59" i="13"/>
  <c r="V53" i="13"/>
  <c r="AC53" i="13"/>
  <c r="AU42" i="13"/>
  <c r="AU39" i="13"/>
  <c r="AU31" i="13"/>
  <c r="AU24" i="13"/>
  <c r="AU16" i="13"/>
  <c r="AU23" i="13"/>
  <c r="AU38" i="13"/>
  <c r="AU15" i="13"/>
  <c r="AU43" i="13"/>
  <c r="AU35" i="13"/>
  <c r="AU28" i="13"/>
  <c r="AU20" i="13"/>
  <c r="AU27" i="13"/>
  <c r="AU19" i="13"/>
  <c r="AU44" i="13"/>
  <c r="AU40" i="13"/>
  <c r="AU36" i="13"/>
  <c r="AU32" i="13"/>
  <c r="AU41" i="13"/>
  <c r="AU37" i="13"/>
  <c r="AU33" i="13"/>
  <c r="AU30" i="13"/>
  <c r="AU26" i="13"/>
  <c r="AU22" i="13"/>
  <c r="AU18" i="13"/>
  <c r="AU29" i="13"/>
  <c r="AU25" i="13"/>
  <c r="AU21" i="13"/>
  <c r="AT47" i="13"/>
  <c r="AU12" i="13"/>
  <c r="AU11" i="13"/>
  <c r="AU10" i="13"/>
  <c r="AU9" i="13"/>
  <c r="AT53" i="13" l="1"/>
  <c r="AT50" i="13" s="1"/>
  <c r="AT52" i="13" s="1"/>
  <c r="AU45" i="13"/>
  <c r="AU13" i="13"/>
  <c r="AT55" i="10"/>
  <c r="AO45" i="12" l="1"/>
  <c r="AP45" i="12"/>
  <c r="AR13" i="12"/>
  <c r="AP13" i="12"/>
  <c r="AO13" i="12"/>
  <c r="AT8" i="12"/>
  <c r="AT56" i="12"/>
  <c r="AT55" i="12"/>
  <c r="AT54" i="12"/>
  <c r="AS45" i="12"/>
  <c r="AR45" i="12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AT44" i="12"/>
  <c r="AT43" i="12"/>
  <c r="AT42" i="12"/>
  <c r="AT41" i="12"/>
  <c r="AT40" i="12"/>
  <c r="AT39" i="12"/>
  <c r="AT38" i="12"/>
  <c r="AT37" i="12"/>
  <c r="AT36" i="12"/>
  <c r="AT35" i="12"/>
  <c r="AT34" i="12"/>
  <c r="AT33" i="12"/>
  <c r="AT32" i="12"/>
  <c r="AT31" i="12"/>
  <c r="AT30" i="12"/>
  <c r="AT29" i="12"/>
  <c r="AT28" i="12"/>
  <c r="AT27" i="12"/>
  <c r="AT26" i="12"/>
  <c r="AT25" i="12"/>
  <c r="AT24" i="12"/>
  <c r="AT23" i="12"/>
  <c r="AT22" i="12"/>
  <c r="AT21" i="12"/>
  <c r="AT20" i="12"/>
  <c r="AT19" i="12"/>
  <c r="AT18" i="12"/>
  <c r="AT17" i="12"/>
  <c r="AT16" i="12"/>
  <c r="AT15" i="12"/>
  <c r="AS13" i="12"/>
  <c r="AR47" i="12"/>
  <c r="AR50" i="12" s="1"/>
  <c r="AN13" i="12"/>
  <c r="AM13" i="12"/>
  <c r="AM47" i="12" s="1"/>
  <c r="AM50" i="12" s="1"/>
  <c r="AM59" i="12" s="1"/>
  <c r="AL13" i="12"/>
  <c r="AK13" i="12"/>
  <c r="AK47" i="12" s="1"/>
  <c r="AK50" i="12" s="1"/>
  <c r="AK59" i="12" s="1"/>
  <c r="AJ13" i="12"/>
  <c r="AI13" i="12"/>
  <c r="AI47" i="12" s="1"/>
  <c r="AI50" i="12" s="1"/>
  <c r="AI59" i="12" s="1"/>
  <c r="AH13" i="12"/>
  <c r="AG13" i="12"/>
  <c r="AG47" i="12" s="1"/>
  <c r="AG50" i="12" s="1"/>
  <c r="AF13" i="12"/>
  <c r="AE13" i="12"/>
  <c r="AE47" i="12" s="1"/>
  <c r="AE50" i="12" s="1"/>
  <c r="AE59" i="12" s="1"/>
  <c r="AD13" i="12"/>
  <c r="AC13" i="12"/>
  <c r="AC47" i="12" s="1"/>
  <c r="AC50" i="12" s="1"/>
  <c r="AB13" i="12"/>
  <c r="AA13" i="12"/>
  <c r="AA47" i="12" s="1"/>
  <c r="AA50" i="12" s="1"/>
  <c r="Z13" i="12"/>
  <c r="Y13" i="12"/>
  <c r="Y47" i="12" s="1"/>
  <c r="Y50" i="12" s="1"/>
  <c r="Y53" i="12" s="1"/>
  <c r="X13" i="12"/>
  <c r="W13" i="12"/>
  <c r="W47" i="12" s="1"/>
  <c r="W50" i="12" s="1"/>
  <c r="V13" i="12"/>
  <c r="U13" i="12"/>
  <c r="U47" i="12" s="1"/>
  <c r="U50" i="12" s="1"/>
  <c r="U59" i="12" s="1"/>
  <c r="T13" i="12"/>
  <c r="S13" i="12"/>
  <c r="S47" i="12" s="1"/>
  <c r="S50" i="12" s="1"/>
  <c r="S59" i="12" s="1"/>
  <c r="R13" i="12"/>
  <c r="Q13" i="12"/>
  <c r="Q47" i="12" s="1"/>
  <c r="Q50" i="12" s="1"/>
  <c r="Q59" i="12" s="1"/>
  <c r="P13" i="12"/>
  <c r="O13" i="12"/>
  <c r="O47" i="12" s="1"/>
  <c r="O50" i="12" s="1"/>
  <c r="N13" i="12"/>
  <c r="M13" i="12"/>
  <c r="M47" i="12" s="1"/>
  <c r="M50" i="12" s="1"/>
  <c r="M59" i="12" s="1"/>
  <c r="L13" i="12"/>
  <c r="K13" i="12"/>
  <c r="K47" i="12" s="1"/>
  <c r="K50" i="12" s="1"/>
  <c r="K59" i="12" s="1"/>
  <c r="J13" i="12"/>
  <c r="I13" i="12"/>
  <c r="I47" i="12" s="1"/>
  <c r="I50" i="12" s="1"/>
  <c r="I59" i="12" s="1"/>
  <c r="H13" i="12"/>
  <c r="G13" i="12"/>
  <c r="G47" i="12" s="1"/>
  <c r="G50" i="12" s="1"/>
  <c r="F13" i="12"/>
  <c r="E13" i="12"/>
  <c r="E47" i="12" s="1"/>
  <c r="E50" i="12" s="1"/>
  <c r="D13" i="12"/>
  <c r="C13" i="12"/>
  <c r="C47" i="12" s="1"/>
  <c r="C50" i="12" s="1"/>
  <c r="C59" i="12" s="1"/>
  <c r="B13" i="12"/>
  <c r="AT12" i="12"/>
  <c r="AT11" i="12"/>
  <c r="AT10" i="12"/>
  <c r="AT9" i="12"/>
  <c r="E53" i="12" l="1"/>
  <c r="E59" i="12"/>
  <c r="G53" i="12"/>
  <c r="G59" i="12"/>
  <c r="W53" i="12"/>
  <c r="W59" i="12"/>
  <c r="AA53" i="12"/>
  <c r="AA59" i="12"/>
  <c r="AC53" i="12"/>
  <c r="AC59" i="12"/>
  <c r="AG59" i="12"/>
  <c r="AP47" i="12"/>
  <c r="AP50" i="12" s="1"/>
  <c r="AP59" i="12" s="1"/>
  <c r="AO47" i="12"/>
  <c r="AO50" i="12" s="1"/>
  <c r="AO59" i="12" s="1"/>
  <c r="B47" i="12"/>
  <c r="D47" i="12"/>
  <c r="D50" i="12" s="1"/>
  <c r="F47" i="12"/>
  <c r="F50" i="12" s="1"/>
  <c r="F59" i="12" s="1"/>
  <c r="H47" i="12"/>
  <c r="H50" i="12" s="1"/>
  <c r="J47" i="12"/>
  <c r="J50" i="12" s="1"/>
  <c r="J59" i="12" s="1"/>
  <c r="L47" i="12"/>
  <c r="L50" i="12" s="1"/>
  <c r="L59" i="12" s="1"/>
  <c r="N47" i="12"/>
  <c r="N50" i="12" s="1"/>
  <c r="N59" i="12" s="1"/>
  <c r="P47" i="12"/>
  <c r="P50" i="12" s="1"/>
  <c r="P59" i="12" s="1"/>
  <c r="R47" i="12"/>
  <c r="R50" i="12" s="1"/>
  <c r="R59" i="12" s="1"/>
  <c r="T47" i="12"/>
  <c r="T50" i="12" s="1"/>
  <c r="T59" i="12" s="1"/>
  <c r="V47" i="12"/>
  <c r="V50" i="12" s="1"/>
  <c r="X47" i="12"/>
  <c r="X50" i="12" s="1"/>
  <c r="Z47" i="12"/>
  <c r="Z50" i="12" s="1"/>
  <c r="AB47" i="12"/>
  <c r="AB50" i="12" s="1"/>
  <c r="AB59" i="12" s="1"/>
  <c r="AD47" i="12"/>
  <c r="AD50" i="12" s="1"/>
  <c r="AD59" i="12" s="1"/>
  <c r="AF47" i="12"/>
  <c r="AF50" i="12" s="1"/>
  <c r="AF59" i="12" s="1"/>
  <c r="AH47" i="12"/>
  <c r="AH50" i="12" s="1"/>
  <c r="AH59" i="12" s="1"/>
  <c r="AJ47" i="12"/>
  <c r="AJ50" i="12" s="1"/>
  <c r="AL47" i="12"/>
  <c r="AL50" i="12" s="1"/>
  <c r="AN47" i="12"/>
  <c r="AN50" i="12" s="1"/>
  <c r="AS47" i="12"/>
  <c r="AS50" i="12" s="1"/>
  <c r="AT49" i="12"/>
  <c r="AT13" i="12"/>
  <c r="AU11" i="12" s="1"/>
  <c r="AT45" i="12"/>
  <c r="AU17" i="12" s="1"/>
  <c r="B50" i="12"/>
  <c r="B59" i="12" s="1"/>
  <c r="AU35" i="12" l="1"/>
  <c r="AJ59" i="12"/>
  <c r="AL59" i="12"/>
  <c r="Z53" i="12"/>
  <c r="Z59" i="12"/>
  <c r="V53" i="12"/>
  <c r="V59" i="12"/>
  <c r="AN59" i="12"/>
  <c r="AU38" i="12"/>
  <c r="AU22" i="12"/>
  <c r="AU15" i="12"/>
  <c r="AU30" i="12"/>
  <c r="AU43" i="12"/>
  <c r="AU42" i="12"/>
  <c r="AU34" i="12"/>
  <c r="AU26" i="12"/>
  <c r="AU18" i="12"/>
  <c r="AU39" i="12"/>
  <c r="AU31" i="12"/>
  <c r="AU23" i="12"/>
  <c r="AU27" i="12"/>
  <c r="AT47" i="12"/>
  <c r="AU19" i="12"/>
  <c r="AU8" i="12"/>
  <c r="AU10" i="12"/>
  <c r="AU12" i="12"/>
  <c r="AU9" i="12"/>
  <c r="AU44" i="12"/>
  <c r="AU40" i="12"/>
  <c r="AU36" i="12"/>
  <c r="AU32" i="12"/>
  <c r="AU28" i="12"/>
  <c r="AU24" i="12"/>
  <c r="AU20" i="12"/>
  <c r="AU16" i="12"/>
  <c r="AU41" i="12"/>
  <c r="AU37" i="12"/>
  <c r="AU33" i="12"/>
  <c r="AU29" i="12"/>
  <c r="AU25" i="12"/>
  <c r="AU21" i="12"/>
  <c r="AT53" i="12" l="1"/>
  <c r="AT50" i="12" s="1"/>
  <c r="AT52" i="12" s="1"/>
  <c r="AU45" i="12"/>
  <c r="AU13" i="12"/>
  <c r="AT56" i="11" l="1"/>
  <c r="AT55" i="11"/>
  <c r="AT54" i="11"/>
  <c r="AT49" i="11"/>
  <c r="AS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T44" i="11"/>
  <c r="AT43" i="11"/>
  <c r="AT42" i="11"/>
  <c r="AT41" i="11"/>
  <c r="AT40" i="11"/>
  <c r="AT39" i="11"/>
  <c r="AT38" i="11"/>
  <c r="AT37" i="11"/>
  <c r="AT36" i="11"/>
  <c r="AT35" i="11"/>
  <c r="AT34" i="11"/>
  <c r="AT33" i="11"/>
  <c r="AT32" i="11"/>
  <c r="AT31" i="11"/>
  <c r="AT30" i="11"/>
  <c r="AT29" i="11"/>
  <c r="AT28" i="11"/>
  <c r="AT27" i="11"/>
  <c r="AT26" i="11"/>
  <c r="AT25" i="11"/>
  <c r="AT24" i="11"/>
  <c r="AT23" i="11"/>
  <c r="AT22" i="11"/>
  <c r="AT21" i="11"/>
  <c r="AT20" i="11"/>
  <c r="AT19" i="11"/>
  <c r="AT18" i="11"/>
  <c r="AT17" i="11"/>
  <c r="AT16" i="11"/>
  <c r="AT15" i="11"/>
  <c r="AS47" i="11"/>
  <c r="AS50" i="11" s="1"/>
  <c r="AN13" i="11"/>
  <c r="AN47" i="11" s="1"/>
  <c r="AN50" i="11" s="1"/>
  <c r="AM13" i="11"/>
  <c r="AM47" i="11" s="1"/>
  <c r="AM50" i="11" s="1"/>
  <c r="AM59" i="11" s="1"/>
  <c r="AL13" i="11"/>
  <c r="AL47" i="11" s="1"/>
  <c r="AL50" i="11" s="1"/>
  <c r="AK13" i="11"/>
  <c r="AK47" i="11" s="1"/>
  <c r="AK50" i="11" s="1"/>
  <c r="AK59" i="11" s="1"/>
  <c r="AJ13" i="11"/>
  <c r="AJ47" i="11" s="1"/>
  <c r="AJ50" i="11" s="1"/>
  <c r="AI13" i="11"/>
  <c r="AI47" i="11" s="1"/>
  <c r="AI50" i="11" s="1"/>
  <c r="AI59" i="11" s="1"/>
  <c r="AH13" i="11"/>
  <c r="AH47" i="11" s="1"/>
  <c r="AH50" i="11" s="1"/>
  <c r="AH59" i="11" s="1"/>
  <c r="AG13" i="11"/>
  <c r="AG47" i="11" s="1"/>
  <c r="AG50" i="11" s="1"/>
  <c r="AF13" i="11"/>
  <c r="AF47" i="11" s="1"/>
  <c r="AF50" i="11" s="1"/>
  <c r="AF59" i="11" s="1"/>
  <c r="AE13" i="11"/>
  <c r="AE47" i="11" s="1"/>
  <c r="AE50" i="11" s="1"/>
  <c r="AE59" i="11" s="1"/>
  <c r="AD13" i="11"/>
  <c r="AD47" i="11" s="1"/>
  <c r="AD50" i="11" s="1"/>
  <c r="AD59" i="11" s="1"/>
  <c r="AC13" i="11"/>
  <c r="AC47" i="11" s="1"/>
  <c r="AC50" i="11" s="1"/>
  <c r="AB13" i="11"/>
  <c r="AB47" i="11" s="1"/>
  <c r="AB50" i="11" s="1"/>
  <c r="AA13" i="11"/>
  <c r="AA47" i="11" s="1"/>
  <c r="AA50" i="11" s="1"/>
  <c r="Z13" i="11"/>
  <c r="Z47" i="11" s="1"/>
  <c r="Z50" i="11" s="1"/>
  <c r="Y13" i="11"/>
  <c r="Y47" i="11" s="1"/>
  <c r="Y50" i="11" s="1"/>
  <c r="X13" i="11"/>
  <c r="X47" i="11" s="1"/>
  <c r="X50" i="11" s="1"/>
  <c r="W13" i="11"/>
  <c r="W47" i="11" s="1"/>
  <c r="W50" i="11" s="1"/>
  <c r="V13" i="11"/>
  <c r="U13" i="11"/>
  <c r="U47" i="11" s="1"/>
  <c r="U50" i="11" s="1"/>
  <c r="T13" i="11"/>
  <c r="S13" i="11"/>
  <c r="S47" i="11" s="1"/>
  <c r="S50" i="11" s="1"/>
  <c r="S59" i="11" s="1"/>
  <c r="R13" i="11"/>
  <c r="Q13" i="11"/>
  <c r="Q47" i="11" s="1"/>
  <c r="Q50" i="11" s="1"/>
  <c r="P13" i="11"/>
  <c r="O13" i="11"/>
  <c r="O47" i="11" s="1"/>
  <c r="O50" i="11" s="1"/>
  <c r="N13" i="11"/>
  <c r="M13" i="11"/>
  <c r="M47" i="11" s="1"/>
  <c r="M50" i="11" s="1"/>
  <c r="M59" i="11" s="1"/>
  <c r="L13" i="11"/>
  <c r="K13" i="11"/>
  <c r="K47" i="11" s="1"/>
  <c r="K50" i="11" s="1"/>
  <c r="K59" i="11" s="1"/>
  <c r="J13" i="11"/>
  <c r="I13" i="11"/>
  <c r="I47" i="11" s="1"/>
  <c r="I50" i="11" s="1"/>
  <c r="I59" i="11" s="1"/>
  <c r="H13" i="11"/>
  <c r="G13" i="11"/>
  <c r="G47" i="11" s="1"/>
  <c r="G50" i="11" s="1"/>
  <c r="F13" i="11"/>
  <c r="E13" i="11"/>
  <c r="E47" i="11" s="1"/>
  <c r="E50" i="11" s="1"/>
  <c r="D13" i="11"/>
  <c r="C13" i="11"/>
  <c r="C47" i="11" s="1"/>
  <c r="C50" i="11" s="1"/>
  <c r="C59" i="11" s="1"/>
  <c r="B13" i="11"/>
  <c r="AT12" i="11"/>
  <c r="AT11" i="11"/>
  <c r="AT10" i="11"/>
  <c r="AT9" i="11"/>
  <c r="AT8" i="11"/>
  <c r="B47" i="11" l="1"/>
  <c r="D47" i="11"/>
  <c r="D50" i="11" s="1"/>
  <c r="F47" i="11"/>
  <c r="F50" i="11" s="1"/>
  <c r="F59" i="11" s="1"/>
  <c r="H47" i="11"/>
  <c r="H50" i="11" s="1"/>
  <c r="J47" i="11"/>
  <c r="J50" i="11" s="1"/>
  <c r="J59" i="11" s="1"/>
  <c r="L47" i="11"/>
  <c r="L50" i="11" s="1"/>
  <c r="L59" i="11" s="1"/>
  <c r="N47" i="11"/>
  <c r="N50" i="11" s="1"/>
  <c r="P47" i="11"/>
  <c r="P50" i="11" s="1"/>
  <c r="R47" i="11"/>
  <c r="R50" i="11" s="1"/>
  <c r="R59" i="11" s="1"/>
  <c r="T47" i="11"/>
  <c r="T50" i="11" s="1"/>
  <c r="T59" i="11" s="1"/>
  <c r="V47" i="11"/>
  <c r="V50" i="11" s="1"/>
  <c r="V53" i="11" s="1"/>
  <c r="Z53" i="11"/>
  <c r="Z59" i="11"/>
  <c r="AJ53" i="11"/>
  <c r="AJ59" i="11"/>
  <c r="AL53" i="11"/>
  <c r="AL59" i="11"/>
  <c r="AN53" i="11"/>
  <c r="AN59" i="11"/>
  <c r="AT13" i="11"/>
  <c r="AU11" i="11" s="1"/>
  <c r="E53" i="11"/>
  <c r="E59" i="11"/>
  <c r="G53" i="11"/>
  <c r="G59" i="11"/>
  <c r="W53" i="11"/>
  <c r="Y53" i="11"/>
  <c r="AA53" i="11"/>
  <c r="AA59" i="11"/>
  <c r="AC53" i="11"/>
  <c r="AC59" i="11"/>
  <c r="AG53" i="11"/>
  <c r="AG59" i="11"/>
  <c r="AT45" i="11"/>
  <c r="AU19" i="11" s="1"/>
  <c r="B50" i="11"/>
  <c r="B59" i="11" s="1"/>
  <c r="AN13" i="10"/>
  <c r="AT47" i="11" l="1"/>
  <c r="AU12" i="11"/>
  <c r="AU8" i="11"/>
  <c r="V59" i="11"/>
  <c r="AT53" i="11"/>
  <c r="AT50" i="11" s="1"/>
  <c r="AT52" i="11" s="1"/>
  <c r="AU10" i="11"/>
  <c r="AU9" i="11"/>
  <c r="AU15" i="11"/>
  <c r="AU42" i="11"/>
  <c r="AU38" i="11"/>
  <c r="AU34" i="11"/>
  <c r="AU30" i="11"/>
  <c r="AU26" i="11"/>
  <c r="AU22" i="11"/>
  <c r="AU18" i="11"/>
  <c r="AU43" i="11"/>
  <c r="AU39" i="11"/>
  <c r="AU35" i="11"/>
  <c r="AU31" i="11"/>
  <c r="AU27" i="11"/>
  <c r="AU23" i="11"/>
  <c r="AU17" i="11"/>
  <c r="AU44" i="11"/>
  <c r="AU40" i="11"/>
  <c r="AU36" i="11"/>
  <c r="AU32" i="11"/>
  <c r="AU28" i="11"/>
  <c r="AU24" i="11"/>
  <c r="AU20" i="11"/>
  <c r="AU16" i="11"/>
  <c r="AU41" i="11"/>
  <c r="AU37" i="11"/>
  <c r="AU33" i="11"/>
  <c r="AU29" i="11"/>
  <c r="AU25" i="11"/>
  <c r="AU21" i="11"/>
  <c r="AT9" i="10"/>
  <c r="AT10" i="10"/>
  <c r="AT11" i="10"/>
  <c r="AT12" i="10"/>
  <c r="AT8" i="10"/>
  <c r="AU13" i="11" l="1"/>
  <c r="AU45" i="11"/>
  <c r="AT56" i="10"/>
  <c r="AT54" i="10"/>
  <c r="AT49" i="10"/>
  <c r="AS45" i="10"/>
  <c r="AN45" i="10"/>
  <c r="AN47" i="10" s="1"/>
  <c r="AN50" i="10" s="1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T44" i="10"/>
  <c r="AT43" i="10"/>
  <c r="AT42" i="10"/>
  <c r="AT41" i="10"/>
  <c r="AT40" i="10"/>
  <c r="AT39" i="10"/>
  <c r="AT38" i="10"/>
  <c r="AT37" i="10"/>
  <c r="AT36" i="10"/>
  <c r="AT35" i="10"/>
  <c r="AT34" i="10"/>
  <c r="AT33" i="10"/>
  <c r="AT32" i="10"/>
  <c r="AT31" i="10"/>
  <c r="AT30" i="10"/>
  <c r="AT29" i="10"/>
  <c r="AT28" i="10"/>
  <c r="AT27" i="10"/>
  <c r="AT26" i="10"/>
  <c r="AT25" i="10"/>
  <c r="AT24" i="10"/>
  <c r="AT23" i="10"/>
  <c r="AT22" i="10"/>
  <c r="AT21" i="10"/>
  <c r="AT20" i="10"/>
  <c r="AT19" i="10"/>
  <c r="AT18" i="10"/>
  <c r="AT17" i="10"/>
  <c r="AT16" i="10"/>
  <c r="AT15" i="10"/>
  <c r="AS13" i="10"/>
  <c r="AS47" i="10" s="1"/>
  <c r="AS50" i="10" s="1"/>
  <c r="AM13" i="10"/>
  <c r="AM47" i="10" s="1"/>
  <c r="AM50" i="10" s="1"/>
  <c r="AM59" i="10" s="1"/>
  <c r="AL13" i="10"/>
  <c r="AL47" i="10" s="1"/>
  <c r="AL50" i="10" s="1"/>
  <c r="AK13" i="10"/>
  <c r="AK47" i="10" s="1"/>
  <c r="AK50" i="10" s="1"/>
  <c r="AK59" i="10" s="1"/>
  <c r="AJ13" i="10"/>
  <c r="AJ47" i="10" s="1"/>
  <c r="AJ50" i="10" s="1"/>
  <c r="AI13" i="10"/>
  <c r="AI47" i="10" s="1"/>
  <c r="AI50" i="10" s="1"/>
  <c r="AI59" i="10" s="1"/>
  <c r="AH13" i="10"/>
  <c r="AH47" i="10" s="1"/>
  <c r="AH50" i="10" s="1"/>
  <c r="AH59" i="10" s="1"/>
  <c r="AG13" i="10"/>
  <c r="AG47" i="10" s="1"/>
  <c r="AG50" i="10" s="1"/>
  <c r="AF13" i="10"/>
  <c r="AF47" i="10" s="1"/>
  <c r="AF50" i="10" s="1"/>
  <c r="AF59" i="10" s="1"/>
  <c r="AE13" i="10"/>
  <c r="AE47" i="10" s="1"/>
  <c r="AE50" i="10" s="1"/>
  <c r="AE59" i="10" s="1"/>
  <c r="AD13" i="10"/>
  <c r="AD47" i="10" s="1"/>
  <c r="AD50" i="10" s="1"/>
  <c r="AD59" i="10" s="1"/>
  <c r="AC13" i="10"/>
  <c r="AC47" i="10" s="1"/>
  <c r="AC50" i="10" s="1"/>
  <c r="AB13" i="10"/>
  <c r="AB47" i="10" s="1"/>
  <c r="AB50" i="10" s="1"/>
  <c r="AB59" i="10" s="1"/>
  <c r="AA13" i="10"/>
  <c r="AA47" i="10" s="1"/>
  <c r="AA50" i="10" s="1"/>
  <c r="Z13" i="10"/>
  <c r="Z47" i="10" s="1"/>
  <c r="Z50" i="10" s="1"/>
  <c r="Y13" i="10"/>
  <c r="Y47" i="10" s="1"/>
  <c r="Y50" i="10" s="1"/>
  <c r="X13" i="10"/>
  <c r="X47" i="10" s="1"/>
  <c r="X50" i="10" s="1"/>
  <c r="W13" i="10"/>
  <c r="W47" i="10" s="1"/>
  <c r="W50" i="10" s="1"/>
  <c r="V13" i="10"/>
  <c r="V47" i="10" s="1"/>
  <c r="V50" i="10" s="1"/>
  <c r="U13" i="10"/>
  <c r="U47" i="10" s="1"/>
  <c r="U50" i="10" s="1"/>
  <c r="T13" i="10"/>
  <c r="T47" i="10" s="1"/>
  <c r="T50" i="10" s="1"/>
  <c r="T59" i="10" s="1"/>
  <c r="S13" i="10"/>
  <c r="S47" i="10" s="1"/>
  <c r="S50" i="10" s="1"/>
  <c r="S59" i="10" s="1"/>
  <c r="R13" i="10"/>
  <c r="R47" i="10" s="1"/>
  <c r="R50" i="10" s="1"/>
  <c r="R59" i="10" s="1"/>
  <c r="Q13" i="10"/>
  <c r="Q47" i="10" s="1"/>
  <c r="Q50" i="10" s="1"/>
  <c r="P13" i="10"/>
  <c r="P47" i="10" s="1"/>
  <c r="P50" i="10" s="1"/>
  <c r="O13" i="10"/>
  <c r="O47" i="10" s="1"/>
  <c r="O50" i="10" s="1"/>
  <c r="N13" i="10"/>
  <c r="N47" i="10" s="1"/>
  <c r="N50" i="10" s="1"/>
  <c r="M13" i="10"/>
  <c r="M47" i="10" s="1"/>
  <c r="M50" i="10" s="1"/>
  <c r="M59" i="10" s="1"/>
  <c r="L13" i="10"/>
  <c r="L47" i="10" s="1"/>
  <c r="L50" i="10" s="1"/>
  <c r="L59" i="10" s="1"/>
  <c r="K13" i="10"/>
  <c r="K47" i="10" s="1"/>
  <c r="K50" i="10" s="1"/>
  <c r="K59" i="10" s="1"/>
  <c r="J13" i="10"/>
  <c r="J47" i="10" s="1"/>
  <c r="J50" i="10" s="1"/>
  <c r="J59" i="10" s="1"/>
  <c r="I13" i="10"/>
  <c r="I47" i="10" s="1"/>
  <c r="I50" i="10" s="1"/>
  <c r="I59" i="10" s="1"/>
  <c r="H13" i="10"/>
  <c r="H47" i="10" s="1"/>
  <c r="H50" i="10" s="1"/>
  <c r="G13" i="10"/>
  <c r="G47" i="10" s="1"/>
  <c r="G50" i="10" s="1"/>
  <c r="F13" i="10"/>
  <c r="F47" i="10" s="1"/>
  <c r="F50" i="10" s="1"/>
  <c r="F59" i="10" s="1"/>
  <c r="E13" i="10"/>
  <c r="E47" i="10" s="1"/>
  <c r="E50" i="10" s="1"/>
  <c r="D13" i="10"/>
  <c r="D47" i="10" s="1"/>
  <c r="D50" i="10" s="1"/>
  <c r="C13" i="10"/>
  <c r="C47" i="10" s="1"/>
  <c r="C50" i="10" s="1"/>
  <c r="C59" i="10" s="1"/>
  <c r="B13" i="10"/>
  <c r="B47" i="10" s="1"/>
  <c r="AT13" i="10"/>
  <c r="AU9" i="10" s="1"/>
  <c r="V53" i="10" l="1"/>
  <c r="V59" i="10"/>
  <c r="Z53" i="10"/>
  <c r="Z59" i="10"/>
  <c r="AL53" i="10"/>
  <c r="AL59" i="10"/>
  <c r="E53" i="10"/>
  <c r="E59" i="10"/>
  <c r="G53" i="10"/>
  <c r="G59" i="10"/>
  <c r="W53" i="10"/>
  <c r="Y53" i="10"/>
  <c r="AA53" i="10"/>
  <c r="AA59" i="10"/>
  <c r="AC53" i="10"/>
  <c r="AC59" i="10"/>
  <c r="AG53" i="10"/>
  <c r="AG59" i="10"/>
  <c r="AJ53" i="10"/>
  <c r="AJ59" i="10"/>
  <c r="AN53" i="10"/>
  <c r="AN59" i="10"/>
  <c r="AU10" i="10"/>
  <c r="AU12" i="10"/>
  <c r="AT45" i="10"/>
  <c r="AU15" i="10" s="1"/>
  <c r="AU8" i="10"/>
  <c r="AU11" i="10"/>
  <c r="B50" i="10"/>
  <c r="B59" i="10" s="1"/>
  <c r="AT47" i="10"/>
  <c r="AM47" i="1"/>
  <c r="AM50" i="1" s="1"/>
  <c r="AM59" i="1" s="1"/>
  <c r="AT54" i="8"/>
  <c r="AT56" i="8"/>
  <c r="AT54" i="4"/>
  <c r="AT55" i="4"/>
  <c r="AT56" i="4"/>
  <c r="AT54" i="9"/>
  <c r="AT55" i="9"/>
  <c r="AT56" i="9"/>
  <c r="AN45" i="9"/>
  <c r="AN47" i="9" s="1"/>
  <c r="AN50" i="9" s="1"/>
  <c r="AU36" i="10" l="1"/>
  <c r="AU44" i="10"/>
  <c r="AU24" i="10"/>
  <c r="AU40" i="10"/>
  <c r="AU32" i="10"/>
  <c r="AU16" i="10"/>
  <c r="AU42" i="10"/>
  <c r="AU38" i="10"/>
  <c r="AU34" i="10"/>
  <c r="AU28" i="10"/>
  <c r="AU20" i="10"/>
  <c r="AU31" i="10"/>
  <c r="AU30" i="10"/>
  <c r="AU26" i="10"/>
  <c r="AU22" i="10"/>
  <c r="AU18" i="10"/>
  <c r="AU39" i="10"/>
  <c r="AU23" i="10"/>
  <c r="AU43" i="10"/>
  <c r="AU35" i="10"/>
  <c r="AU27" i="10"/>
  <c r="AU19" i="10"/>
  <c r="AN53" i="9"/>
  <c r="AN59" i="9"/>
  <c r="AT53" i="10"/>
  <c r="AT50" i="10" s="1"/>
  <c r="AT52" i="10" s="1"/>
  <c r="AU41" i="10"/>
  <c r="AU37" i="10"/>
  <c r="AU33" i="10"/>
  <c r="AU29" i="10"/>
  <c r="AU25" i="10"/>
  <c r="AU21" i="10"/>
  <c r="AU17" i="10"/>
  <c r="AT55" i="8"/>
  <c r="AU13" i="10"/>
  <c r="AT9" i="9"/>
  <c r="AT10" i="9"/>
  <c r="AT11" i="9"/>
  <c r="AT12" i="9"/>
  <c r="AT8" i="9"/>
  <c r="AT13" i="9" s="1"/>
  <c r="AU12" i="9" s="1"/>
  <c r="AS45" i="9"/>
  <c r="AS47" i="9" s="1"/>
  <c r="AS50" i="9" s="1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T44" i="9"/>
  <c r="AT43" i="9"/>
  <c r="AT42" i="9"/>
  <c r="AT41" i="9"/>
  <c r="AT40" i="9"/>
  <c r="AT39" i="9"/>
  <c r="AT38" i="9"/>
  <c r="AT37" i="9"/>
  <c r="AT36" i="9"/>
  <c r="AT35" i="9"/>
  <c r="AT34" i="9"/>
  <c r="AT33" i="9"/>
  <c r="AT32" i="9"/>
  <c r="AT31" i="9"/>
  <c r="AT30" i="9"/>
  <c r="AT29" i="9"/>
  <c r="AT28" i="9"/>
  <c r="AT27" i="9"/>
  <c r="AT26" i="9"/>
  <c r="AT25" i="9"/>
  <c r="AT24" i="9"/>
  <c r="AT23" i="9"/>
  <c r="AT22" i="9"/>
  <c r="AT21" i="9"/>
  <c r="AT20" i="9"/>
  <c r="AT19" i="9"/>
  <c r="AT18" i="9"/>
  <c r="AT17" i="9"/>
  <c r="AT16" i="9"/>
  <c r="AT15" i="9"/>
  <c r="AM13" i="9"/>
  <c r="AM47" i="9" s="1"/>
  <c r="AM50" i="9" s="1"/>
  <c r="AM59" i="9" s="1"/>
  <c r="AL13" i="9"/>
  <c r="AL47" i="9" s="1"/>
  <c r="AL50" i="9" s="1"/>
  <c r="AK13" i="9"/>
  <c r="AK47" i="9" s="1"/>
  <c r="AK50" i="9" s="1"/>
  <c r="AK59" i="9" s="1"/>
  <c r="AJ13" i="9"/>
  <c r="AJ47" i="9" s="1"/>
  <c r="AJ50" i="9" s="1"/>
  <c r="AI13" i="9"/>
  <c r="AI47" i="9" s="1"/>
  <c r="AI50" i="9" s="1"/>
  <c r="AI59" i="9" s="1"/>
  <c r="AH13" i="9"/>
  <c r="AH47" i="9" s="1"/>
  <c r="AH50" i="9" s="1"/>
  <c r="AH59" i="9" s="1"/>
  <c r="AG13" i="9"/>
  <c r="AG47" i="9" s="1"/>
  <c r="AG50" i="9" s="1"/>
  <c r="AF13" i="9"/>
  <c r="AF47" i="9" s="1"/>
  <c r="AF50" i="9" s="1"/>
  <c r="AF59" i="9" s="1"/>
  <c r="AE13" i="9"/>
  <c r="AE47" i="9" s="1"/>
  <c r="AE50" i="9" s="1"/>
  <c r="AE59" i="9" s="1"/>
  <c r="AD13" i="9"/>
  <c r="AD47" i="9" s="1"/>
  <c r="AD50" i="9" s="1"/>
  <c r="AD59" i="9" s="1"/>
  <c r="AC13" i="9"/>
  <c r="AC47" i="9" s="1"/>
  <c r="AC50" i="9" s="1"/>
  <c r="AB13" i="9"/>
  <c r="AB47" i="9" s="1"/>
  <c r="AB50" i="9" s="1"/>
  <c r="AB59" i="9" s="1"/>
  <c r="AA13" i="9"/>
  <c r="Z13" i="9"/>
  <c r="Z47" i="9" s="1"/>
  <c r="Z50" i="9" s="1"/>
  <c r="Y13" i="9"/>
  <c r="Y47" i="9" s="1"/>
  <c r="Y50" i="9" s="1"/>
  <c r="X13" i="9"/>
  <c r="X47" i="9" s="1"/>
  <c r="X50" i="9" s="1"/>
  <c r="X59" i="9" s="1"/>
  <c r="W13" i="9"/>
  <c r="W47" i="9" s="1"/>
  <c r="W50" i="9" s="1"/>
  <c r="V13" i="9"/>
  <c r="V47" i="9" s="1"/>
  <c r="V50" i="9" s="1"/>
  <c r="U13" i="9"/>
  <c r="U47" i="9" s="1"/>
  <c r="U50" i="9" s="1"/>
  <c r="U59" i="9" s="1"/>
  <c r="T13" i="9"/>
  <c r="T47" i="9" s="1"/>
  <c r="T50" i="9" s="1"/>
  <c r="T59" i="9" s="1"/>
  <c r="S13" i="9"/>
  <c r="S47" i="9" s="1"/>
  <c r="S50" i="9" s="1"/>
  <c r="S59" i="9" s="1"/>
  <c r="R13" i="9"/>
  <c r="R47" i="9" s="1"/>
  <c r="R50" i="9" s="1"/>
  <c r="R59" i="9" s="1"/>
  <c r="Q13" i="9"/>
  <c r="Q47" i="9" s="1"/>
  <c r="Q50" i="9" s="1"/>
  <c r="Q59" i="9" s="1"/>
  <c r="P13" i="9"/>
  <c r="P47" i="9" s="1"/>
  <c r="P50" i="9" s="1"/>
  <c r="P59" i="9" s="1"/>
  <c r="O13" i="9"/>
  <c r="O47" i="9" s="1"/>
  <c r="O50" i="9" s="1"/>
  <c r="N13" i="9"/>
  <c r="N47" i="9" s="1"/>
  <c r="N50" i="9" s="1"/>
  <c r="N59" i="9" s="1"/>
  <c r="M13" i="9"/>
  <c r="M47" i="9" s="1"/>
  <c r="M50" i="9" s="1"/>
  <c r="M59" i="9" s="1"/>
  <c r="L13" i="9"/>
  <c r="L47" i="9" s="1"/>
  <c r="L50" i="9" s="1"/>
  <c r="L59" i="9" s="1"/>
  <c r="K13" i="9"/>
  <c r="K47" i="9" s="1"/>
  <c r="K50" i="9" s="1"/>
  <c r="K59" i="9" s="1"/>
  <c r="J13" i="9"/>
  <c r="J47" i="9" s="1"/>
  <c r="J50" i="9" s="1"/>
  <c r="J59" i="9" s="1"/>
  <c r="I13" i="9"/>
  <c r="I47" i="9" s="1"/>
  <c r="I50" i="9" s="1"/>
  <c r="I59" i="9" s="1"/>
  <c r="H13" i="9"/>
  <c r="H47" i="9" s="1"/>
  <c r="H50" i="9" s="1"/>
  <c r="G13" i="9"/>
  <c r="G47" i="9" s="1"/>
  <c r="G50" i="9" s="1"/>
  <c r="F13" i="9"/>
  <c r="F47" i="9" s="1"/>
  <c r="F50" i="9" s="1"/>
  <c r="F59" i="9" s="1"/>
  <c r="E13" i="9"/>
  <c r="E47" i="9" s="1"/>
  <c r="E50" i="9" s="1"/>
  <c r="D13" i="9"/>
  <c r="D47" i="9" s="1"/>
  <c r="D50" i="9" s="1"/>
  <c r="C13" i="9"/>
  <c r="C47" i="9" s="1"/>
  <c r="C50" i="9" s="1"/>
  <c r="C59" i="9" s="1"/>
  <c r="B13" i="9"/>
  <c r="B47" i="9" s="1"/>
  <c r="AT54" i="7"/>
  <c r="AT55" i="7"/>
  <c r="AT56" i="7"/>
  <c r="AT56" i="2"/>
  <c r="AT55" i="2"/>
  <c r="AT54" i="2"/>
  <c r="AT56" i="1"/>
  <c r="AT55" i="1"/>
  <c r="AT54" i="1"/>
  <c r="AU45" i="10" l="1"/>
  <c r="AA47" i="9"/>
  <c r="AA50" i="9" s="1"/>
  <c r="E53" i="9"/>
  <c r="E59" i="9"/>
  <c r="G53" i="9"/>
  <c r="G59" i="9"/>
  <c r="W53" i="9"/>
  <c r="W59" i="9"/>
  <c r="Y53" i="9"/>
  <c r="Y59" i="9"/>
  <c r="AA53" i="9"/>
  <c r="AA59" i="9"/>
  <c r="AC53" i="9"/>
  <c r="AC59" i="9"/>
  <c r="AG53" i="9"/>
  <c r="AG59" i="9"/>
  <c r="V53" i="9"/>
  <c r="V59" i="9"/>
  <c r="Z53" i="9"/>
  <c r="Z59" i="9"/>
  <c r="AJ53" i="9"/>
  <c r="AJ59" i="9"/>
  <c r="AL53" i="9"/>
  <c r="AL59" i="9"/>
  <c r="AU8" i="9"/>
  <c r="AU9" i="9"/>
  <c r="AU11" i="9"/>
  <c r="AU10" i="9"/>
  <c r="AT45" i="9"/>
  <c r="AU16" i="9" s="1"/>
  <c r="AT49" i="9"/>
  <c r="B50" i="9"/>
  <c r="B59" i="9" s="1"/>
  <c r="AT47" i="9"/>
  <c r="AU15" i="9" l="1"/>
  <c r="AT53" i="9"/>
  <c r="AT50" i="9" s="1"/>
  <c r="AU13" i="9"/>
  <c r="AU43" i="9"/>
  <c r="AU39" i="9"/>
  <c r="AU42" i="9"/>
  <c r="AU34" i="9"/>
  <c r="AU30" i="9"/>
  <c r="AU26" i="9"/>
  <c r="AU22" i="9"/>
  <c r="AU18" i="9"/>
  <c r="AU35" i="9"/>
  <c r="AU31" i="9"/>
  <c r="AU27" i="9"/>
  <c r="AU23" i="9"/>
  <c r="AU19" i="9"/>
  <c r="AU38" i="9"/>
  <c r="AU41" i="9"/>
  <c r="AU37" i="9"/>
  <c r="AU33" i="9"/>
  <c r="AU29" i="9"/>
  <c r="AU25" i="9"/>
  <c r="AU21" i="9"/>
  <c r="AU17" i="9"/>
  <c r="AU44" i="9"/>
  <c r="AU40" i="9"/>
  <c r="AU36" i="9"/>
  <c r="AU32" i="9"/>
  <c r="AU28" i="9"/>
  <c r="AU24" i="9"/>
  <c r="AU20" i="9"/>
  <c r="AU45" i="9" l="1"/>
  <c r="AT52" i="9"/>
  <c r="AT49" i="8" l="1"/>
  <c r="AU45" i="8"/>
  <c r="AS45" i="8"/>
  <c r="AR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T44" i="8"/>
  <c r="AT43" i="8"/>
  <c r="AT42" i="8"/>
  <c r="AT41" i="8"/>
  <c r="AT40" i="8"/>
  <c r="AT39" i="8"/>
  <c r="AT38" i="8"/>
  <c r="AT37" i="8"/>
  <c r="AT36" i="8"/>
  <c r="AT35" i="8"/>
  <c r="AT34" i="8"/>
  <c r="AT33" i="8"/>
  <c r="AT32" i="8"/>
  <c r="AT31" i="8"/>
  <c r="AT30" i="8"/>
  <c r="AT29" i="8"/>
  <c r="AT28" i="8"/>
  <c r="AT27" i="8"/>
  <c r="AT26" i="8"/>
  <c r="AT25" i="8"/>
  <c r="AT24" i="8"/>
  <c r="AT23" i="8"/>
  <c r="AT22" i="8"/>
  <c r="AT21" i="8"/>
  <c r="AT20" i="8"/>
  <c r="AT19" i="8"/>
  <c r="AT18" i="8"/>
  <c r="AT17" i="8"/>
  <c r="AT16" i="8"/>
  <c r="AT15" i="8"/>
  <c r="AU13" i="8"/>
  <c r="AS13" i="8"/>
  <c r="AS47" i="8" s="1"/>
  <c r="AS50" i="8" s="1"/>
  <c r="AM13" i="8"/>
  <c r="AM47" i="8" s="1"/>
  <c r="AM50" i="8" s="1"/>
  <c r="AM59" i="8" s="1"/>
  <c r="AL13" i="8"/>
  <c r="AK13" i="8"/>
  <c r="AK47" i="8" s="1"/>
  <c r="AK50" i="8" s="1"/>
  <c r="AK59" i="8" s="1"/>
  <c r="AJ13" i="8"/>
  <c r="AI13" i="8"/>
  <c r="AI47" i="8" s="1"/>
  <c r="AI50" i="8" s="1"/>
  <c r="AI59" i="8" s="1"/>
  <c r="AH13" i="8"/>
  <c r="AG13" i="8"/>
  <c r="AG47" i="8" s="1"/>
  <c r="AG50" i="8" s="1"/>
  <c r="AF13" i="8"/>
  <c r="AE13" i="8"/>
  <c r="AE47" i="8" s="1"/>
  <c r="AE50" i="8" s="1"/>
  <c r="AE59" i="8" s="1"/>
  <c r="AD13" i="8"/>
  <c r="AC13" i="8"/>
  <c r="AC47" i="8" s="1"/>
  <c r="AC50" i="8" s="1"/>
  <c r="AB13" i="8"/>
  <c r="AA13" i="8"/>
  <c r="AA47" i="8" s="1"/>
  <c r="AA50" i="8" s="1"/>
  <c r="Z13" i="8"/>
  <c r="Y13" i="8"/>
  <c r="Y47" i="8" s="1"/>
  <c r="Y50" i="8" s="1"/>
  <c r="X13" i="8"/>
  <c r="W13" i="8"/>
  <c r="W47" i="8" s="1"/>
  <c r="W50" i="8" s="1"/>
  <c r="V13" i="8"/>
  <c r="U13" i="8"/>
  <c r="U47" i="8" s="1"/>
  <c r="U50" i="8" s="1"/>
  <c r="T13" i="8"/>
  <c r="S13" i="8"/>
  <c r="S47" i="8" s="1"/>
  <c r="S50" i="8" s="1"/>
  <c r="S59" i="8" s="1"/>
  <c r="R13" i="8"/>
  <c r="Q13" i="8"/>
  <c r="Q47" i="8" s="1"/>
  <c r="Q50" i="8" s="1"/>
  <c r="P13" i="8"/>
  <c r="O13" i="8"/>
  <c r="O47" i="8" s="1"/>
  <c r="O50" i="8" s="1"/>
  <c r="O59" i="8" s="1"/>
  <c r="N13" i="8"/>
  <c r="M13" i="8"/>
  <c r="M47" i="8" s="1"/>
  <c r="M50" i="8" s="1"/>
  <c r="M59" i="8" s="1"/>
  <c r="L13" i="8"/>
  <c r="K13" i="8"/>
  <c r="K47" i="8" s="1"/>
  <c r="K50" i="8" s="1"/>
  <c r="K59" i="8" s="1"/>
  <c r="J13" i="8"/>
  <c r="I13" i="8"/>
  <c r="I47" i="8" s="1"/>
  <c r="I50" i="8" s="1"/>
  <c r="I59" i="8" s="1"/>
  <c r="H13" i="8"/>
  <c r="G13" i="8"/>
  <c r="G47" i="8" s="1"/>
  <c r="G50" i="8" s="1"/>
  <c r="G59" i="8" s="1"/>
  <c r="F13" i="8"/>
  <c r="E13" i="8"/>
  <c r="D13" i="8"/>
  <c r="C13" i="8"/>
  <c r="B13" i="8"/>
  <c r="AT12" i="8"/>
  <c r="AT11" i="8"/>
  <c r="AT10" i="8"/>
  <c r="AT9" i="8"/>
  <c r="AT8" i="8"/>
  <c r="C47" i="8" l="1"/>
  <c r="C50" i="8" s="1"/>
  <c r="C59" i="8" s="1"/>
  <c r="E47" i="8"/>
  <c r="E50" i="8" s="1"/>
  <c r="E59" i="8" s="1"/>
  <c r="W53" i="8"/>
  <c r="Y53" i="8"/>
  <c r="AA53" i="8"/>
  <c r="AA59" i="8"/>
  <c r="AC53" i="8"/>
  <c r="AC59" i="8"/>
  <c r="AG53" i="8"/>
  <c r="B47" i="8"/>
  <c r="B50" i="8" s="1"/>
  <c r="B59" i="8" s="1"/>
  <c r="D47" i="8"/>
  <c r="D50" i="8" s="1"/>
  <c r="F47" i="8"/>
  <c r="F50" i="8" s="1"/>
  <c r="F59" i="8" s="1"/>
  <c r="H47" i="8"/>
  <c r="H50" i="8" s="1"/>
  <c r="J47" i="8"/>
  <c r="J50" i="8" s="1"/>
  <c r="J59" i="8" s="1"/>
  <c r="L47" i="8"/>
  <c r="L50" i="8" s="1"/>
  <c r="L59" i="8" s="1"/>
  <c r="N47" i="8"/>
  <c r="N50" i="8" s="1"/>
  <c r="N59" i="8" s="1"/>
  <c r="P47" i="8"/>
  <c r="P50" i="8" s="1"/>
  <c r="R47" i="8"/>
  <c r="R50" i="8" s="1"/>
  <c r="R59" i="8" s="1"/>
  <c r="T47" i="8"/>
  <c r="T50" i="8" s="1"/>
  <c r="T59" i="8" s="1"/>
  <c r="V47" i="8"/>
  <c r="V50" i="8" s="1"/>
  <c r="X47" i="8"/>
  <c r="X50" i="8" s="1"/>
  <c r="Z47" i="8"/>
  <c r="Z50" i="8" s="1"/>
  <c r="AB47" i="8"/>
  <c r="AB50" i="8" s="1"/>
  <c r="AD47" i="8"/>
  <c r="AD50" i="8" s="1"/>
  <c r="AD59" i="8" s="1"/>
  <c r="AF47" i="8"/>
  <c r="AF50" i="8" s="1"/>
  <c r="AF59" i="8" s="1"/>
  <c r="AH47" i="8"/>
  <c r="AH50" i="8" s="1"/>
  <c r="AH59" i="8" s="1"/>
  <c r="AJ47" i="8"/>
  <c r="AJ50" i="8" s="1"/>
  <c r="AL47" i="8"/>
  <c r="AL50" i="8" s="1"/>
  <c r="AR47" i="8"/>
  <c r="AR50" i="8" s="1"/>
  <c r="AT13" i="8"/>
  <c r="AT45" i="8"/>
  <c r="AJ53" i="8" l="1"/>
  <c r="AT47" i="8"/>
  <c r="AL53" i="8"/>
  <c r="Z53" i="8"/>
  <c r="Z59" i="8"/>
  <c r="V53" i="8"/>
  <c r="V59" i="8"/>
  <c r="AM45" i="7" l="1"/>
  <c r="AT8" i="7" l="1"/>
  <c r="AM13" i="7"/>
  <c r="AM47" i="7" s="1"/>
  <c r="AM50" i="7" s="1"/>
  <c r="AM59" i="7" s="1"/>
  <c r="AU45" i="7" l="1"/>
  <c r="AS45" i="7"/>
  <c r="AR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T44" i="7"/>
  <c r="AT43" i="7"/>
  <c r="AT42" i="7"/>
  <c r="AT41" i="7"/>
  <c r="AT40" i="7"/>
  <c r="AT39" i="7"/>
  <c r="AT38" i="7"/>
  <c r="AT37" i="7"/>
  <c r="AT36" i="7"/>
  <c r="AT35" i="7"/>
  <c r="AT34" i="7"/>
  <c r="AT33" i="7"/>
  <c r="AT32" i="7"/>
  <c r="AT31" i="7"/>
  <c r="AT30" i="7"/>
  <c r="AT29" i="7"/>
  <c r="AT28" i="7"/>
  <c r="AT27" i="7"/>
  <c r="AT26" i="7"/>
  <c r="AT25" i="7"/>
  <c r="AT24" i="7"/>
  <c r="AT23" i="7"/>
  <c r="AT22" i="7"/>
  <c r="AT21" i="7"/>
  <c r="AT20" i="7"/>
  <c r="AT19" i="7"/>
  <c r="AT18" i="7"/>
  <c r="AT17" i="7"/>
  <c r="AT16" i="7"/>
  <c r="AT15" i="7"/>
  <c r="AU13" i="7"/>
  <c r="AS13" i="7"/>
  <c r="AR13" i="7"/>
  <c r="AR47" i="7" s="1"/>
  <c r="AR50" i="7" s="1"/>
  <c r="AL13" i="7"/>
  <c r="AL47" i="7" s="1"/>
  <c r="AL50" i="7" s="1"/>
  <c r="AK13" i="7"/>
  <c r="AK47" i="7" s="1"/>
  <c r="AK50" i="7" s="1"/>
  <c r="AK59" i="7" s="1"/>
  <c r="AJ13" i="7"/>
  <c r="AJ47" i="7" s="1"/>
  <c r="AJ50" i="7" s="1"/>
  <c r="AI13" i="7"/>
  <c r="AI47" i="7" s="1"/>
  <c r="AI50" i="7" s="1"/>
  <c r="AI59" i="7" s="1"/>
  <c r="AH13" i="7"/>
  <c r="AH47" i="7" s="1"/>
  <c r="AH50" i="7" s="1"/>
  <c r="AH59" i="7" s="1"/>
  <c r="AG13" i="7"/>
  <c r="AG47" i="7" s="1"/>
  <c r="AG50" i="7" s="1"/>
  <c r="AF13" i="7"/>
  <c r="AF47" i="7" s="1"/>
  <c r="AF50" i="7" s="1"/>
  <c r="AF59" i="7" s="1"/>
  <c r="AE13" i="7"/>
  <c r="AE47" i="7" s="1"/>
  <c r="AE50" i="7" s="1"/>
  <c r="AE59" i="7" s="1"/>
  <c r="AD13" i="7"/>
  <c r="AD47" i="7" s="1"/>
  <c r="AD50" i="7" s="1"/>
  <c r="AD59" i="7" s="1"/>
  <c r="AC13" i="7"/>
  <c r="AC47" i="7" s="1"/>
  <c r="AC50" i="7" s="1"/>
  <c r="AB13" i="7"/>
  <c r="AB47" i="7" s="1"/>
  <c r="AB50" i="7" s="1"/>
  <c r="AB59" i="7" s="1"/>
  <c r="AA13" i="7"/>
  <c r="AA47" i="7" s="1"/>
  <c r="AA50" i="7" s="1"/>
  <c r="Z13" i="7"/>
  <c r="Z47" i="7" s="1"/>
  <c r="Z50" i="7" s="1"/>
  <c r="Y13" i="7"/>
  <c r="Y47" i="7" s="1"/>
  <c r="Y50" i="7" s="1"/>
  <c r="X13" i="7"/>
  <c r="X47" i="7" s="1"/>
  <c r="X50" i="7" s="1"/>
  <c r="W13" i="7"/>
  <c r="W47" i="7" s="1"/>
  <c r="W50" i="7" s="1"/>
  <c r="V13" i="7"/>
  <c r="V47" i="7" s="1"/>
  <c r="V50" i="7" s="1"/>
  <c r="U13" i="7"/>
  <c r="U47" i="7" s="1"/>
  <c r="U50" i="7" s="1"/>
  <c r="U59" i="7" s="1"/>
  <c r="T13" i="7"/>
  <c r="T47" i="7" s="1"/>
  <c r="T50" i="7" s="1"/>
  <c r="T59" i="7" s="1"/>
  <c r="S13" i="7"/>
  <c r="S47" i="7" s="1"/>
  <c r="S50" i="7" s="1"/>
  <c r="S59" i="7" s="1"/>
  <c r="R13" i="7"/>
  <c r="R47" i="7" s="1"/>
  <c r="R50" i="7" s="1"/>
  <c r="R59" i="7" s="1"/>
  <c r="Q13" i="7"/>
  <c r="Q47" i="7" s="1"/>
  <c r="Q50" i="7" s="1"/>
  <c r="Q59" i="7" s="1"/>
  <c r="P13" i="7"/>
  <c r="P47" i="7" s="1"/>
  <c r="P50" i="7" s="1"/>
  <c r="P59" i="7" s="1"/>
  <c r="O13" i="7"/>
  <c r="O47" i="7" s="1"/>
  <c r="O50" i="7" s="1"/>
  <c r="N13" i="7"/>
  <c r="N47" i="7" s="1"/>
  <c r="N50" i="7" s="1"/>
  <c r="M13" i="7"/>
  <c r="M47" i="7" s="1"/>
  <c r="M50" i="7" s="1"/>
  <c r="M59" i="7" s="1"/>
  <c r="L13" i="7"/>
  <c r="L47" i="7" s="1"/>
  <c r="L50" i="7" s="1"/>
  <c r="L59" i="7" s="1"/>
  <c r="K13" i="7"/>
  <c r="K47" i="7" s="1"/>
  <c r="K50" i="7" s="1"/>
  <c r="K59" i="7" s="1"/>
  <c r="J13" i="7"/>
  <c r="J47" i="7" s="1"/>
  <c r="J50" i="7" s="1"/>
  <c r="J59" i="7" s="1"/>
  <c r="I13" i="7"/>
  <c r="I47" i="7" s="1"/>
  <c r="I50" i="7" s="1"/>
  <c r="I59" i="7" s="1"/>
  <c r="H13" i="7"/>
  <c r="H47" i="7" s="1"/>
  <c r="H50" i="7" s="1"/>
  <c r="G13" i="7"/>
  <c r="G47" i="7" s="1"/>
  <c r="G50" i="7" s="1"/>
  <c r="F13" i="7"/>
  <c r="F47" i="7" s="1"/>
  <c r="F50" i="7" s="1"/>
  <c r="F59" i="7" s="1"/>
  <c r="E13" i="7"/>
  <c r="E47" i="7" s="1"/>
  <c r="E50" i="7" s="1"/>
  <c r="D13" i="7"/>
  <c r="D47" i="7" s="1"/>
  <c r="D50" i="7" s="1"/>
  <c r="C13" i="7"/>
  <c r="C47" i="7" s="1"/>
  <c r="C50" i="7" s="1"/>
  <c r="C59" i="7" s="1"/>
  <c r="B13" i="7"/>
  <c r="B47" i="7" s="1"/>
  <c r="AT12" i="7"/>
  <c r="AT11" i="7"/>
  <c r="AT10" i="7"/>
  <c r="AT9" i="7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15" i="2"/>
  <c r="AS47" i="7" l="1"/>
  <c r="AS50" i="7" s="1"/>
  <c r="E53" i="7"/>
  <c r="E59" i="7"/>
  <c r="G53" i="7"/>
  <c r="G59" i="7"/>
  <c r="W53" i="7"/>
  <c r="AA53" i="7"/>
  <c r="AA59" i="7"/>
  <c r="AC53" i="7"/>
  <c r="AC59" i="7"/>
  <c r="V53" i="7"/>
  <c r="V59" i="7"/>
  <c r="Z53" i="7"/>
  <c r="Z59" i="7"/>
  <c r="Y53" i="7"/>
  <c r="AT45" i="7"/>
  <c r="AT13" i="7"/>
  <c r="AT49" i="7"/>
  <c r="AT47" i="7"/>
  <c r="B50" i="7"/>
  <c r="AT49" i="4" l="1"/>
  <c r="AT53" i="7"/>
  <c r="AT50" i="7" s="1"/>
  <c r="AT52" i="7" s="1"/>
  <c r="B59" i="7"/>
  <c r="AL45" i="4"/>
  <c r="AS45" i="4"/>
  <c r="AT9" i="4"/>
  <c r="AT10" i="4"/>
  <c r="AT11" i="4"/>
  <c r="AT12" i="4"/>
  <c r="AT8" i="4"/>
  <c r="AS13" i="4"/>
  <c r="AS47" i="4" s="1"/>
  <c r="AS50" i="4" s="1"/>
  <c r="AR45" i="4"/>
  <c r="AK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R13" i="4"/>
  <c r="AR47" i="4" s="1"/>
  <c r="AR50" i="4" s="1"/>
  <c r="AL13" i="4"/>
  <c r="AL47" i="4" s="1"/>
  <c r="AL50" i="4" s="1"/>
  <c r="AK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B47" i="4" l="1"/>
  <c r="D47" i="4"/>
  <c r="D50" i="4" s="1"/>
  <c r="F47" i="4"/>
  <c r="F50" i="4" s="1"/>
  <c r="F59" i="4" s="1"/>
  <c r="H47" i="4"/>
  <c r="H50" i="4" s="1"/>
  <c r="J47" i="4"/>
  <c r="J50" i="4" s="1"/>
  <c r="J59" i="4" s="1"/>
  <c r="L47" i="4"/>
  <c r="L50" i="4" s="1"/>
  <c r="L59" i="4" s="1"/>
  <c r="N47" i="4"/>
  <c r="N50" i="4" s="1"/>
  <c r="N59" i="4" s="1"/>
  <c r="P47" i="4"/>
  <c r="P50" i="4" s="1"/>
  <c r="P59" i="4" s="1"/>
  <c r="R47" i="4"/>
  <c r="R50" i="4" s="1"/>
  <c r="R59" i="4" s="1"/>
  <c r="T47" i="4"/>
  <c r="T50" i="4" s="1"/>
  <c r="T59" i="4" s="1"/>
  <c r="V47" i="4"/>
  <c r="V50" i="4" s="1"/>
  <c r="V59" i="4" s="1"/>
  <c r="X47" i="4"/>
  <c r="X50" i="4" s="1"/>
  <c r="Z47" i="4"/>
  <c r="Z50" i="4" s="1"/>
  <c r="Z59" i="4" s="1"/>
  <c r="AB47" i="4"/>
  <c r="AB50" i="4" s="1"/>
  <c r="AB59" i="4" s="1"/>
  <c r="AD47" i="4"/>
  <c r="AD50" i="4" s="1"/>
  <c r="AD59" i="4" s="1"/>
  <c r="AF47" i="4"/>
  <c r="AF50" i="4" s="1"/>
  <c r="AF59" i="4" s="1"/>
  <c r="AH47" i="4"/>
  <c r="AH50" i="4" s="1"/>
  <c r="AH59" i="4" s="1"/>
  <c r="V53" i="4"/>
  <c r="Z53" i="4"/>
  <c r="AL53" i="4"/>
  <c r="C47" i="4"/>
  <c r="C50" i="4" s="1"/>
  <c r="C59" i="4" s="1"/>
  <c r="E47" i="4"/>
  <c r="E50" i="4" s="1"/>
  <c r="G47" i="4"/>
  <c r="G50" i="4" s="1"/>
  <c r="I47" i="4"/>
  <c r="I50" i="4" s="1"/>
  <c r="I59" i="4" s="1"/>
  <c r="K47" i="4"/>
  <c r="K50" i="4" s="1"/>
  <c r="K59" i="4" s="1"/>
  <c r="M47" i="4"/>
  <c r="M50" i="4" s="1"/>
  <c r="M59" i="4" s="1"/>
  <c r="O47" i="4"/>
  <c r="O50" i="4" s="1"/>
  <c r="Q47" i="4"/>
  <c r="Q50" i="4" s="1"/>
  <c r="Q59" i="4" s="1"/>
  <c r="S47" i="4"/>
  <c r="S50" i="4" s="1"/>
  <c r="S59" i="4" s="1"/>
  <c r="U47" i="4"/>
  <c r="U50" i="4" s="1"/>
  <c r="U59" i="4" s="1"/>
  <c r="W47" i="4"/>
  <c r="W50" i="4" s="1"/>
  <c r="Y47" i="4"/>
  <c r="Y50" i="4" s="1"/>
  <c r="AA47" i="4"/>
  <c r="AA50" i="4" s="1"/>
  <c r="AC47" i="4"/>
  <c r="AC50" i="4" s="1"/>
  <c r="AE47" i="4"/>
  <c r="AE50" i="4" s="1"/>
  <c r="AE59" i="4" s="1"/>
  <c r="AG47" i="4"/>
  <c r="AG50" i="4" s="1"/>
  <c r="AI47" i="4"/>
  <c r="AI50" i="4" s="1"/>
  <c r="AI59" i="4" s="1"/>
  <c r="AK47" i="4"/>
  <c r="AK50" i="4" s="1"/>
  <c r="AK59" i="4" s="1"/>
  <c r="AT45" i="4"/>
  <c r="B50" i="4"/>
  <c r="B59" i="4" s="1"/>
  <c r="AT13" i="4"/>
  <c r="AU9" i="4" s="1"/>
  <c r="AS45" i="2"/>
  <c r="AS45" i="1"/>
  <c r="AS47" i="1" s="1"/>
  <c r="AS50" i="1" s="1"/>
  <c r="AL50" i="1"/>
  <c r="AT8" i="2"/>
  <c r="AR13" i="2"/>
  <c r="AT41" i="1"/>
  <c r="AT42" i="1"/>
  <c r="AT43" i="1"/>
  <c r="AT44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15" i="1"/>
  <c r="AT9" i="2"/>
  <c r="AT10" i="2"/>
  <c r="AT11" i="2"/>
  <c r="AT12" i="2"/>
  <c r="AT45" i="2"/>
  <c r="AU39" i="2" s="1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2" i="2"/>
  <c r="AU31" i="2"/>
  <c r="AS13" i="2"/>
  <c r="AS47" i="2" s="1"/>
  <c r="AS50" i="2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4" i="2"/>
  <c r="A2" i="2"/>
  <c r="AU43" i="4" l="1"/>
  <c r="AU17" i="4"/>
  <c r="AU21" i="4"/>
  <c r="AU25" i="4"/>
  <c r="AU29" i="4"/>
  <c r="AU33" i="4"/>
  <c r="AU37" i="4"/>
  <c r="AU41" i="4"/>
  <c r="AU18" i="4"/>
  <c r="AU22" i="4"/>
  <c r="AU26" i="4"/>
  <c r="AU30" i="4"/>
  <c r="AU34" i="4"/>
  <c r="AU38" i="4"/>
  <c r="AU42" i="4"/>
  <c r="AU19" i="4"/>
  <c r="AU23" i="4"/>
  <c r="AU27" i="4"/>
  <c r="AU31" i="4"/>
  <c r="AU35" i="4"/>
  <c r="AU39" i="4"/>
  <c r="AU20" i="4"/>
  <c r="AU24" i="4"/>
  <c r="AU28" i="4"/>
  <c r="AU32" i="4"/>
  <c r="AU40" i="4"/>
  <c r="AU44" i="4"/>
  <c r="AU15" i="4"/>
  <c r="AU16" i="4"/>
  <c r="AU36" i="4"/>
  <c r="AU11" i="4"/>
  <c r="AU12" i="4"/>
  <c r="AU10" i="4"/>
  <c r="AU8" i="4"/>
  <c r="D59" i="4"/>
  <c r="AU15" i="2"/>
  <c r="AU36" i="2"/>
  <c r="AL53" i="1"/>
  <c r="AL59" i="1"/>
  <c r="AU28" i="2"/>
  <c r="AU33" i="2"/>
  <c r="AU38" i="2"/>
  <c r="L47" i="2"/>
  <c r="L50" i="2" s="1"/>
  <c r="L59" i="2" s="1"/>
  <c r="N47" i="2"/>
  <c r="N50" i="2" s="1"/>
  <c r="N59" i="2" s="1"/>
  <c r="P47" i="2"/>
  <c r="P50" i="2" s="1"/>
  <c r="P59" i="2" s="1"/>
  <c r="R47" i="2"/>
  <c r="R50" i="2" s="1"/>
  <c r="R59" i="2" s="1"/>
  <c r="T47" i="2"/>
  <c r="T50" i="2" s="1"/>
  <c r="T59" i="2" s="1"/>
  <c r="V47" i="2"/>
  <c r="V50" i="2" s="1"/>
  <c r="V59" i="2" s="1"/>
  <c r="AJ47" i="2"/>
  <c r="AJ50" i="2" s="1"/>
  <c r="AL47" i="2"/>
  <c r="AL50" i="2" s="1"/>
  <c r="AL53" i="2" s="1"/>
  <c r="AJ53" i="2"/>
  <c r="K47" i="2"/>
  <c r="K50" i="2" s="1"/>
  <c r="K59" i="2" s="1"/>
  <c r="M47" i="2"/>
  <c r="M50" i="2" s="1"/>
  <c r="M59" i="2" s="1"/>
  <c r="O47" i="2"/>
  <c r="O50" i="2" s="1"/>
  <c r="Q47" i="2"/>
  <c r="Q50" i="2" s="1"/>
  <c r="Q59" i="2" s="1"/>
  <c r="U47" i="2"/>
  <c r="U50" i="2" s="1"/>
  <c r="U59" i="2" s="1"/>
  <c r="AI47" i="2"/>
  <c r="AI50" i="2" s="1"/>
  <c r="AI59" i="2" s="1"/>
  <c r="AK47" i="2"/>
  <c r="AK50" i="2" s="1"/>
  <c r="AK59" i="2" s="1"/>
  <c r="AU27" i="2"/>
  <c r="AU30" i="2"/>
  <c r="AU32" i="2"/>
  <c r="AU35" i="2"/>
  <c r="AU37" i="2"/>
  <c r="AR47" i="2"/>
  <c r="AR50" i="2" s="1"/>
  <c r="AC53" i="4"/>
  <c r="Y53" i="4"/>
  <c r="E53" i="4"/>
  <c r="E59" i="4"/>
  <c r="AA53" i="4"/>
  <c r="AA59" i="4"/>
  <c r="W53" i="4"/>
  <c r="G53" i="4"/>
  <c r="AT53" i="4" s="1"/>
  <c r="AT50" i="4" s="1"/>
  <c r="AT52" i="4" s="1"/>
  <c r="G59" i="4"/>
  <c r="AT47" i="4"/>
  <c r="AT45" i="1"/>
  <c r="AU42" i="1" s="1"/>
  <c r="AT13" i="2"/>
  <c r="AU9" i="2" s="1"/>
  <c r="AU26" i="2"/>
  <c r="AU29" i="2"/>
  <c r="AU34" i="2"/>
  <c r="AU17" i="2"/>
  <c r="AU16" i="2"/>
  <c r="AU18" i="2"/>
  <c r="AU43" i="2"/>
  <c r="AU44" i="2"/>
  <c r="AU20" i="2"/>
  <c r="AU21" i="2"/>
  <c r="AU22" i="2"/>
  <c r="AU40" i="2"/>
  <c r="AU23" i="2"/>
  <c r="AU19" i="2"/>
  <c r="AU24" i="2"/>
  <c r="AU25" i="2"/>
  <c r="S47" i="2"/>
  <c r="S50" i="2" s="1"/>
  <c r="S59" i="2" s="1"/>
  <c r="Z47" i="2"/>
  <c r="Z50" i="2" s="1"/>
  <c r="AA47" i="2"/>
  <c r="AA50" i="2" s="1"/>
  <c r="W47" i="2"/>
  <c r="W50" i="2" s="1"/>
  <c r="AD47" i="2"/>
  <c r="AD50" i="2" s="1"/>
  <c r="AD59" i="2" s="1"/>
  <c r="AF47" i="2"/>
  <c r="AF50" i="2" s="1"/>
  <c r="AF59" i="2" s="1"/>
  <c r="Y47" i="2"/>
  <c r="Y50" i="2" s="1"/>
  <c r="AB47" i="2"/>
  <c r="AB50" i="2" s="1"/>
  <c r="AB59" i="2" s="1"/>
  <c r="AC47" i="2"/>
  <c r="AC50" i="2" s="1"/>
  <c r="H47" i="2"/>
  <c r="H50" i="2" s="1"/>
  <c r="AG47" i="2"/>
  <c r="AG50" i="2" s="1"/>
  <c r="X47" i="2"/>
  <c r="X50" i="2" s="1"/>
  <c r="AE47" i="2"/>
  <c r="AE50" i="2" s="1"/>
  <c r="AE59" i="2" s="1"/>
  <c r="I47" i="2"/>
  <c r="I50" i="2" s="1"/>
  <c r="I59" i="2" s="1"/>
  <c r="J47" i="2"/>
  <c r="J50" i="2" s="1"/>
  <c r="J59" i="2" s="1"/>
  <c r="AH47" i="2"/>
  <c r="AH50" i="2" s="1"/>
  <c r="AH59" i="2" s="1"/>
  <c r="G47" i="2"/>
  <c r="G50" i="2" s="1"/>
  <c r="F47" i="2"/>
  <c r="F50" i="2" s="1"/>
  <c r="F59" i="2" s="1"/>
  <c r="E47" i="2"/>
  <c r="E50" i="2" s="1"/>
  <c r="D47" i="2"/>
  <c r="D50" i="2" s="1"/>
  <c r="C47" i="2"/>
  <c r="C50" i="2" s="1"/>
  <c r="C59" i="2" s="1"/>
  <c r="B47" i="2"/>
  <c r="AT49" i="2"/>
  <c r="AU45" i="4" l="1"/>
  <c r="AU13" i="4"/>
  <c r="AU11" i="2"/>
  <c r="V53" i="2"/>
  <c r="AU10" i="2"/>
  <c r="Z53" i="2"/>
  <c r="Z59" i="2"/>
  <c r="W53" i="2"/>
  <c r="E53" i="2"/>
  <c r="E59" i="2"/>
  <c r="G53" i="2"/>
  <c r="G59" i="2"/>
  <c r="AG53" i="2"/>
  <c r="AC53" i="2"/>
  <c r="Y53" i="2"/>
  <c r="AA53" i="2"/>
  <c r="AA59" i="2"/>
  <c r="AU43" i="1"/>
  <c r="AU45" i="2"/>
  <c r="AU12" i="2"/>
  <c r="AU8" i="2"/>
  <c r="AT47" i="2"/>
  <c r="AU41" i="1"/>
  <c r="B50" i="2"/>
  <c r="B59" i="2" s="1"/>
  <c r="AT53" i="2" l="1"/>
  <c r="AU13" i="2"/>
  <c r="AT50" i="2" l="1"/>
  <c r="AT52" i="2" s="1"/>
  <c r="AK45" i="1" l="1"/>
  <c r="AJ45" i="1"/>
  <c r="AI45" i="1"/>
  <c r="AH45" i="1"/>
  <c r="AF45" i="1"/>
  <c r="AE45" i="1"/>
  <c r="AD45" i="1"/>
  <c r="AC45" i="1"/>
  <c r="AB45" i="1"/>
  <c r="AA45" i="1"/>
  <c r="Z45" i="1"/>
  <c r="V45" i="1"/>
  <c r="U45" i="1"/>
  <c r="T45" i="1"/>
  <c r="S45" i="1"/>
  <c r="R45" i="1"/>
  <c r="Q45" i="1"/>
  <c r="P45" i="1"/>
  <c r="N45" i="1"/>
  <c r="M45" i="1"/>
  <c r="L45" i="1"/>
  <c r="K45" i="1"/>
  <c r="J45" i="1"/>
  <c r="I45" i="1"/>
  <c r="G45" i="1"/>
  <c r="F45" i="1"/>
  <c r="E45" i="1"/>
  <c r="C45" i="1"/>
  <c r="B45" i="1"/>
  <c r="AT12" i="1"/>
  <c r="AT11" i="1"/>
  <c r="AT10" i="1"/>
  <c r="AT9" i="1"/>
  <c r="A2" i="1"/>
  <c r="AG50" i="1" l="1"/>
  <c r="AG53" i="1" s="1"/>
  <c r="H50" i="1"/>
  <c r="H59" i="1" s="1"/>
  <c r="AR47" i="1"/>
  <c r="AR50" i="1" s="1"/>
  <c r="AT49" i="1"/>
  <c r="AU16" i="1"/>
  <c r="B13" i="1"/>
  <c r="B47" i="1" s="1"/>
  <c r="D50" i="1"/>
  <c r="F13" i="1"/>
  <c r="F47" i="1" s="1"/>
  <c r="F50" i="1" s="1"/>
  <c r="F59" i="1" s="1"/>
  <c r="I13" i="1"/>
  <c r="I47" i="1" s="1"/>
  <c r="I50" i="1" s="1"/>
  <c r="I59" i="1" s="1"/>
  <c r="K13" i="1"/>
  <c r="K47" i="1" s="1"/>
  <c r="K50" i="1" s="1"/>
  <c r="K59" i="1" s="1"/>
  <c r="M13" i="1"/>
  <c r="M47" i="1" s="1"/>
  <c r="M50" i="1" s="1"/>
  <c r="M59" i="1" s="1"/>
  <c r="O13" i="1"/>
  <c r="O50" i="1" s="1"/>
  <c r="O59" i="1" s="1"/>
  <c r="Q13" i="1"/>
  <c r="Q47" i="1" s="1"/>
  <c r="Q50" i="1" s="1"/>
  <c r="Q59" i="1" s="1"/>
  <c r="S13" i="1"/>
  <c r="S47" i="1" s="1"/>
  <c r="S50" i="1" s="1"/>
  <c r="S59" i="1" s="1"/>
  <c r="U13" i="1"/>
  <c r="U47" i="1" s="1"/>
  <c r="U50" i="1" s="1"/>
  <c r="U59" i="1" s="1"/>
  <c r="W50" i="1"/>
  <c r="Y50" i="1"/>
  <c r="AA13" i="1"/>
  <c r="AA47" i="1" s="1"/>
  <c r="AA50" i="1" s="1"/>
  <c r="AC13" i="1"/>
  <c r="AC47" i="1" s="1"/>
  <c r="AC50" i="1" s="1"/>
  <c r="AE13" i="1"/>
  <c r="AE47" i="1" s="1"/>
  <c r="AE50" i="1" s="1"/>
  <c r="AE59" i="1" s="1"/>
  <c r="AH13" i="1"/>
  <c r="AH47" i="1" s="1"/>
  <c r="AH50" i="1" s="1"/>
  <c r="AH59" i="1" s="1"/>
  <c r="AJ13" i="1"/>
  <c r="AJ47" i="1" s="1"/>
  <c r="AJ50" i="1" s="1"/>
  <c r="C13" i="1"/>
  <c r="C47" i="1" s="1"/>
  <c r="C50" i="1" s="1"/>
  <c r="C59" i="1" s="1"/>
  <c r="E13" i="1"/>
  <c r="E47" i="1" s="1"/>
  <c r="E50" i="1" s="1"/>
  <c r="G13" i="1"/>
  <c r="G47" i="1" s="1"/>
  <c r="G50" i="1" s="1"/>
  <c r="J13" i="1"/>
  <c r="J47" i="1" s="1"/>
  <c r="J50" i="1" s="1"/>
  <c r="J59" i="1" s="1"/>
  <c r="L13" i="1"/>
  <c r="L47" i="1" s="1"/>
  <c r="L50" i="1" s="1"/>
  <c r="L59" i="1" s="1"/>
  <c r="N13" i="1"/>
  <c r="N47" i="1" s="1"/>
  <c r="N50" i="1" s="1"/>
  <c r="N59" i="1" s="1"/>
  <c r="P13" i="1"/>
  <c r="P47" i="1" s="1"/>
  <c r="P50" i="1" s="1"/>
  <c r="P59" i="1" s="1"/>
  <c r="R13" i="1"/>
  <c r="R47" i="1" s="1"/>
  <c r="R50" i="1" s="1"/>
  <c r="R59" i="1" s="1"/>
  <c r="T13" i="1"/>
  <c r="T47" i="1" s="1"/>
  <c r="T50" i="1" s="1"/>
  <c r="T59" i="1" s="1"/>
  <c r="V13" i="1"/>
  <c r="V47" i="1" s="1"/>
  <c r="V50" i="1" s="1"/>
  <c r="X50" i="1"/>
  <c r="X59" i="1" s="1"/>
  <c r="Z13" i="1"/>
  <c r="Z47" i="1" s="1"/>
  <c r="Z50" i="1" s="1"/>
  <c r="AB13" i="1"/>
  <c r="AB47" i="1" s="1"/>
  <c r="AB50" i="1" s="1"/>
  <c r="AB59" i="1" s="1"/>
  <c r="AD13" i="1"/>
  <c r="AD47" i="1" s="1"/>
  <c r="AD50" i="1" s="1"/>
  <c r="AD59" i="1" s="1"/>
  <c r="AF13" i="1"/>
  <c r="AF47" i="1" s="1"/>
  <c r="AF50" i="1" s="1"/>
  <c r="AF59" i="1" s="1"/>
  <c r="AI13" i="1"/>
  <c r="AI47" i="1" s="1"/>
  <c r="AI50" i="1" s="1"/>
  <c r="AI59" i="1" s="1"/>
  <c r="AK13" i="1"/>
  <c r="AK47" i="1" s="1"/>
  <c r="AK50" i="1" s="1"/>
  <c r="AK59" i="1" s="1"/>
  <c r="AU19" i="1"/>
  <c r="AU21" i="1"/>
  <c r="AU23" i="1"/>
  <c r="AU25" i="1"/>
  <c r="AU27" i="1"/>
  <c r="AU29" i="1"/>
  <c r="AU31" i="1"/>
  <c r="AU33" i="1"/>
  <c r="AU35" i="1"/>
  <c r="AU37" i="1"/>
  <c r="AU39" i="1"/>
  <c r="AU44" i="1"/>
  <c r="AT8" i="1"/>
  <c r="AU40" i="1"/>
  <c r="AG59" i="1" l="1"/>
  <c r="Z53" i="1"/>
  <c r="Z59" i="1"/>
  <c r="V53" i="1"/>
  <c r="V59" i="1"/>
  <c r="G53" i="1"/>
  <c r="G59" i="1"/>
  <c r="E53" i="1"/>
  <c r="E59" i="1"/>
  <c r="AJ53" i="1"/>
  <c r="AJ59" i="1"/>
  <c r="AC53" i="1"/>
  <c r="AA53" i="1"/>
  <c r="AA59" i="1"/>
  <c r="W53" i="1"/>
  <c r="W59" i="1"/>
  <c r="D59" i="1"/>
  <c r="Y53" i="1"/>
  <c r="Y59" i="1"/>
  <c r="AT13" i="1"/>
  <c r="AU9" i="1" s="1"/>
  <c r="AT47" i="1"/>
  <c r="AU17" i="1"/>
  <c r="AU15" i="1"/>
  <c r="AU38" i="1"/>
  <c r="AU34" i="1"/>
  <c r="AU30" i="1"/>
  <c r="AU26" i="1"/>
  <c r="AU22" i="1"/>
  <c r="AU18" i="1"/>
  <c r="AU36" i="1"/>
  <c r="AU32" i="1"/>
  <c r="AU28" i="1"/>
  <c r="AU24" i="1"/>
  <c r="AU20" i="1"/>
  <c r="B50" i="1"/>
  <c r="AT53" i="1" l="1"/>
  <c r="AT50" i="1" s="1"/>
  <c r="AT52" i="1" s="1"/>
  <c r="B59" i="1"/>
  <c r="AU11" i="1"/>
  <c r="AU8" i="1"/>
  <c r="AU12" i="1"/>
  <c r="AU10" i="1"/>
  <c r="AU45" i="1"/>
  <c r="AU13" i="1" l="1"/>
  <c r="E53" i="8" l="1"/>
  <c r="G53" i="8"/>
  <c r="AT53" i="8" l="1"/>
  <c r="AT50" i="8" s="1"/>
  <c r="AT5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L8" authorId="0" shapeId="0" xr:uid="{C78906B3-2535-44C4-9568-17954701054E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este ingreso se factura en febrero, quitarlo de dicho mes</t>
        </r>
      </text>
    </comment>
    <comment ref="U8" authorId="0" shapeId="0" xr:uid="{BFD7947E-518A-489F-91E6-476C8E34E45F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se factura lo de febrero, solo se registra lo de enero </t>
        </r>
      </text>
    </comment>
    <comment ref="AB8" authorId="0" shapeId="0" xr:uid="{26DA7A8A-FF4A-4C4F-830B-C8096D5C9266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se factura también febrero, se reportará en dicho mes</t>
        </r>
      </text>
    </comment>
    <comment ref="AF8" authorId="0" shapeId="0" xr:uid="{B9A222A8-0171-4B35-84E5-C2E3B955FB5E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se factura febrero, se registra solo lo del mes</t>
        </r>
      </text>
    </comment>
    <comment ref="M59" authorId="0" shapeId="0" xr:uid="{8485EF1D-6E6A-4B15-949F-CE3771120C6D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AB8" authorId="0" shapeId="0" xr:uid="{C01FD5B7-7AE9-4467-8976-2300936E7B4F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se factura también febrero, se reportará en dicho mes</t>
        </r>
      </text>
    </comment>
    <comment ref="M59" authorId="0" shapeId="0" xr:uid="{D8F5421F-ABDC-44E5-A486-9A45DEBCF68D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M59" authorId="0" shapeId="0" xr:uid="{09E0DE79-3A06-4935-BEC3-6CD29DBF86BE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P8" authorId="0" shapeId="0" xr:uid="{15B013C9-A185-471F-880F-B56781FAA56C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solo fue 1ra quincena</t>
        </r>
      </text>
    </comment>
    <comment ref="U15" authorId="0" shapeId="0" xr:uid="{21C2C302-B94D-426B-8C73-0FF71248B479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es el finiquito de Christian Valdez</t>
        </r>
      </text>
    </comment>
    <comment ref="M59" authorId="0" shapeId="0" xr:uid="{A47E1B5F-27DA-4636-90CE-FAC965F5EF8D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M59" authorId="0" shapeId="0" xr:uid="{87202270-E024-4EF9-9936-E0CAE15A46F6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M59" authorId="0" shapeId="0" xr:uid="{A9653217-B1BF-4D43-86D1-A99AF640138C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M59" authorId="0" shapeId="0" xr:uid="{D1A685BF-59A9-46D4-808C-FB6E2B1896ED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M59" authorId="0" shapeId="0" xr:uid="{5B6A6791-C201-47A2-B443-FE4186AD5FD6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M59" authorId="0" shapeId="0" xr:uid="{94B5FF69-DA59-40A0-B515-30D15357B24B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M59" authorId="0" shapeId="0" xr:uid="{3142848E-3109-4294-AFBD-6D6AB6F916C3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AS55" authorId="0" shapeId="0" xr:uid="{2F5CB206-5FD8-4EA5-BDD1-9A7D1BACFA8A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$45,000 cena operativos</t>
        </r>
      </text>
    </comment>
    <comment ref="AS56" authorId="0" shapeId="0" xr:uid="{EEB1B570-1EB8-4830-B879-07F971426C9C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$53,000 JAVIER</t>
        </r>
      </text>
    </comment>
    <comment ref="M59" authorId="0" shapeId="0" xr:uid="{AB167313-C468-4E2A-A047-700F4B9EF562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Pulido</author>
  </authors>
  <commentList>
    <comment ref="M59" authorId="0" shapeId="0" xr:uid="{76808752-2A35-44CF-BE8A-67A6A2BC8789}">
      <text>
        <r>
          <rPr>
            <b/>
            <sz val="9"/>
            <color indexed="81"/>
            <rFont val="Tahoma"/>
            <family val="2"/>
          </rPr>
          <t>Tania Pulido:</t>
        </r>
        <r>
          <rPr>
            <sz val="9"/>
            <color indexed="81"/>
            <rFont val="Tahoma"/>
            <family val="2"/>
          </rPr>
          <t xml:space="preserve">
aquí no coincide la formula con el resto, ya que no estoy considerando el ingreso por monitoreo</t>
        </r>
      </text>
    </comment>
  </commentList>
</comments>
</file>

<file path=xl/sharedStrings.xml><?xml version="1.0" encoding="utf-8"?>
<sst xmlns="http://schemas.openxmlformats.org/spreadsheetml/2006/main" count="1342" uniqueCount="109">
  <si>
    <t>Desglose de ingresos y costos por proyecto</t>
  </si>
  <si>
    <t>Concepto/Proyecto</t>
  </si>
  <si>
    <t>(01) C. Polanco</t>
  </si>
  <si>
    <t>(02) Wepark</t>
  </si>
  <si>
    <t>(40) Aliah</t>
  </si>
  <si>
    <t>(03) Lagrange</t>
  </si>
  <si>
    <t>(42) Palmas</t>
  </si>
  <si>
    <t>(35) Plaza Polanco</t>
  </si>
  <si>
    <t>(49) DeUna</t>
  </si>
  <si>
    <t xml:space="preserve">(47) IB-Group </t>
  </si>
  <si>
    <t>(43) Negra Modelo</t>
  </si>
  <si>
    <t>(51) Revlon</t>
  </si>
  <si>
    <t>(50) Fitness Para Todos</t>
  </si>
  <si>
    <t>(07) Andes 120</t>
  </si>
  <si>
    <t>(08) Xochimilco</t>
  </si>
  <si>
    <t>(09) M. Pelvoux</t>
  </si>
  <si>
    <t>(10) Quadrata</t>
  </si>
  <si>
    <t>(11) Panorama</t>
  </si>
  <si>
    <t>(12) Andes 105</t>
  </si>
  <si>
    <t>(48) Sonda-Nuevo León</t>
  </si>
  <si>
    <t>(39) Las Flores</t>
  </si>
  <si>
    <t>(52) Frondoso</t>
  </si>
  <si>
    <t>(44) Mi Placita</t>
  </si>
  <si>
    <t>(53) Aliah-Chapultepec</t>
  </si>
  <si>
    <t>(14) Bodega Sicario Chalco</t>
  </si>
  <si>
    <t>(18) Campos Eliseos</t>
  </si>
  <si>
    <t>(16) Onix</t>
  </si>
  <si>
    <t>(17) Alce Blanco</t>
  </si>
  <si>
    <t>(36) Embajada de Australia</t>
  </si>
  <si>
    <t>(21) Sur Oxidado</t>
  </si>
  <si>
    <t>(22) Summit</t>
  </si>
  <si>
    <t>(24) Las armas</t>
  </si>
  <si>
    <t>(25) Urbano Town</t>
  </si>
  <si>
    <t>Totales</t>
  </si>
  <si>
    <t>%</t>
  </si>
  <si>
    <t>Ingresos</t>
  </si>
  <si>
    <t>Seguridad</t>
  </si>
  <si>
    <t>Total de ingresos</t>
  </si>
  <si>
    <t>Costos</t>
  </si>
  <si>
    <t xml:space="preserve">Nomina </t>
  </si>
  <si>
    <t>Cuotas IMSS</t>
  </si>
  <si>
    <t>Cuotas AFORE</t>
  </si>
  <si>
    <t>Cuotas INFONAVIT</t>
  </si>
  <si>
    <t>'2.5% sobre nomina</t>
  </si>
  <si>
    <t>Comisiones Bancarias</t>
  </si>
  <si>
    <t>Licencias y permisos</t>
  </si>
  <si>
    <t>Uniformes</t>
  </si>
  <si>
    <t>Anuncios periódico</t>
  </si>
  <si>
    <t>Telefonía</t>
  </si>
  <si>
    <t>Papelería</t>
  </si>
  <si>
    <t>Honorarios</t>
  </si>
  <si>
    <t>Arrendamiento de inmuebles</t>
  </si>
  <si>
    <t>Mobiliario y equipo de oficina</t>
  </si>
  <si>
    <t>Fianzas y seguros</t>
  </si>
  <si>
    <t>Mantenimiento Plaza/Oficina</t>
  </si>
  <si>
    <t>Depreciación</t>
  </si>
  <si>
    <t>Comidas empleados</t>
  </si>
  <si>
    <t>Equipo de operación</t>
  </si>
  <si>
    <t>Equipo de capacitacion</t>
  </si>
  <si>
    <t>Equipo Rondinero</t>
  </si>
  <si>
    <t>Equipo de seguridad</t>
  </si>
  <si>
    <t>Reparación equipo de operación</t>
  </si>
  <si>
    <t>Publicidad</t>
  </si>
  <si>
    <t>Suministros de oficina</t>
  </si>
  <si>
    <t>Varios</t>
  </si>
  <si>
    <t>Artículos de Limpieza</t>
  </si>
  <si>
    <t>No deducibles</t>
  </si>
  <si>
    <t>Total de costos</t>
  </si>
  <si>
    <t xml:space="preserve"> </t>
  </si>
  <si>
    <t>Utilidad Bruta</t>
  </si>
  <si>
    <t xml:space="preserve">compensasiones en efectivo </t>
  </si>
  <si>
    <t xml:space="preserve">Utilidad </t>
  </si>
  <si>
    <t>mensual drive</t>
  </si>
  <si>
    <t>(41) Vía Puerto Paraiso</t>
  </si>
  <si>
    <t>(04) T. Prisma</t>
  </si>
  <si>
    <t xml:space="preserve">(26) For Promocional </t>
  </si>
  <si>
    <t>(15) Damas</t>
  </si>
  <si>
    <t>(13) E. Especiales</t>
  </si>
  <si>
    <t xml:space="preserve">Comision Rafa </t>
  </si>
  <si>
    <t xml:space="preserve">Equipo de Seguridad </t>
  </si>
  <si>
    <t>Sigmaseg S.A. de C.V.</t>
  </si>
  <si>
    <t>Artículos de limpieza</t>
  </si>
  <si>
    <t xml:space="preserve">diferencia </t>
  </si>
  <si>
    <t>(28) Embajada de canadá</t>
  </si>
  <si>
    <t xml:space="preserve">Comisiones Extra </t>
  </si>
  <si>
    <t xml:space="preserve">Otros Gastos </t>
  </si>
  <si>
    <t xml:space="preserve">Otros Ingresos </t>
  </si>
  <si>
    <t>(19) MU770</t>
  </si>
  <si>
    <t>(00) Administración</t>
  </si>
  <si>
    <t>(23) Urban Saavedra</t>
  </si>
  <si>
    <t>(20) Ampliequipos</t>
  </si>
  <si>
    <t xml:space="preserve">Utilidad por elemento </t>
  </si>
  <si>
    <t xml:space="preserve">Cantidad Elementos </t>
  </si>
  <si>
    <t xml:space="preserve">Monitorio </t>
  </si>
  <si>
    <t>Monitoreo</t>
  </si>
  <si>
    <t>(38) VFS Arquimedes</t>
  </si>
  <si>
    <t xml:space="preserve">Ingresos </t>
  </si>
  <si>
    <t>(34) Radiatas</t>
  </si>
  <si>
    <t>(26) For Promocional</t>
  </si>
  <si>
    <t>(50) Ampliequipos</t>
  </si>
  <si>
    <t>(46) Green Tower</t>
  </si>
  <si>
    <t xml:space="preserve">(29) VFS Arquimedes </t>
  </si>
  <si>
    <t>Asesoría y gestoría</t>
  </si>
  <si>
    <t xml:space="preserve">Total elementos </t>
  </si>
  <si>
    <t>(56) Sonda Bodega AP</t>
  </si>
  <si>
    <t>Mantenimiento equipo de operación</t>
  </si>
  <si>
    <t>ok</t>
  </si>
  <si>
    <t>(44) Zendere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</si>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</sst>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3" formatCode="_-* #,##0.00_-;\-* #,##0.00_-;_-* &quot;-&quot;??_-;_-@_-"/>
    <numFmt numFmtId="164" formatCode="_-* #,##0_-;\-* #,##0_-;_-* &quot;-&quot;??_-;_-@_-"/>
    <numFmt numFmtId="165" formatCode="#,##0.00_ ;[Red]\-#,##0.00\ "/>
  </numFmts>
  <fonts count="11" x14ac:knownFonts="1">
    <font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9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43" fontId="2" fillId="2" borderId="0" xfId="1" applyFont="1" applyFill="1"/>
    <xf numFmtId="43" fontId="3" fillId="2" borderId="0" xfId="1" applyFont="1" applyFill="1"/>
    <xf numFmtId="9" fontId="3" fillId="2" borderId="0" xfId="2" applyFont="1" applyFill="1"/>
    <xf numFmtId="0" fontId="3" fillId="2" borderId="1" xfId="0" applyFont="1" applyFill="1" applyBorder="1"/>
    <xf numFmtId="9" fontId="3" fillId="2" borderId="1" xfId="2" applyFont="1" applyFill="1" applyBorder="1"/>
    <xf numFmtId="164" fontId="2" fillId="0" borderId="0" xfId="0" applyNumberFormat="1" applyFont="1"/>
    <xf numFmtId="2" fontId="2" fillId="2" borderId="0" xfId="1" applyNumberFormat="1" applyFont="1" applyFill="1"/>
    <xf numFmtId="164" fontId="3" fillId="2" borderId="0" xfId="1" applyNumberFormat="1" applyFont="1" applyFill="1"/>
    <xf numFmtId="43" fontId="3" fillId="2" borderId="1" xfId="1" applyFont="1" applyFill="1" applyBorder="1"/>
    <xf numFmtId="164" fontId="2" fillId="2" borderId="0" xfId="0" applyNumberFormat="1" applyFont="1" applyFill="1"/>
    <xf numFmtId="0" fontId="2" fillId="4" borderId="0" xfId="0" applyFont="1" applyFill="1"/>
    <xf numFmtId="43" fontId="2" fillId="4" borderId="0" xfId="0" applyNumberFormat="1" applyFont="1" applyFill="1"/>
    <xf numFmtId="8" fontId="3" fillId="0" borderId="0" xfId="1" applyNumberFormat="1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9" fontId="3" fillId="2" borderId="0" xfId="2" applyFont="1" applyFill="1" applyAlignment="1">
      <alignment horizontal="center"/>
    </xf>
    <xf numFmtId="9" fontId="2" fillId="0" borderId="0" xfId="2" applyFont="1"/>
    <xf numFmtId="0" fontId="2" fillId="0" borderId="0" xfId="0" applyFont="1" applyFill="1"/>
    <xf numFmtId="43" fontId="2" fillId="0" borderId="0" xfId="1" applyFont="1" applyFill="1"/>
    <xf numFmtId="2" fontId="2" fillId="0" borderId="0" xfId="1" applyNumberFormat="1" applyFont="1" applyFill="1"/>
    <xf numFmtId="43" fontId="3" fillId="0" borderId="1" xfId="1" applyFont="1" applyFill="1" applyBorder="1"/>
    <xf numFmtId="9" fontId="3" fillId="0" borderId="0" xfId="2" applyFont="1"/>
    <xf numFmtId="43" fontId="3" fillId="0" borderId="0" xfId="1" applyFont="1"/>
    <xf numFmtId="43" fontId="3" fillId="0" borderId="0" xfId="1" applyFont="1" applyFill="1"/>
    <xf numFmtId="43" fontId="3" fillId="0" borderId="0" xfId="2" applyNumberFormat="1" applyFont="1"/>
    <xf numFmtId="43" fontId="2" fillId="0" borderId="0" xfId="0" applyNumberFormat="1" applyFont="1"/>
    <xf numFmtId="43" fontId="2" fillId="0" borderId="0" xfId="0" applyNumberFormat="1" applyFont="1" applyFill="1"/>
    <xf numFmtId="8" fontId="2" fillId="2" borderId="0" xfId="1" applyNumberFormat="1" applyFont="1" applyFill="1"/>
    <xf numFmtId="43" fontId="3" fillId="2" borderId="0" xfId="1" applyFont="1" applyFill="1" applyAlignment="1">
      <alignment horizontal="center"/>
    </xf>
    <xf numFmtId="43" fontId="3" fillId="2" borderId="0" xfId="1" applyFont="1" applyFill="1" applyAlignment="1">
      <alignment horizontal="center" wrapText="1"/>
    </xf>
    <xf numFmtId="43" fontId="2" fillId="4" borderId="0" xfId="1" applyFont="1" applyFill="1"/>
    <xf numFmtId="43" fontId="3" fillId="4" borderId="0" xfId="1" applyFont="1" applyFill="1"/>
    <xf numFmtId="9" fontId="2" fillId="2" borderId="0" xfId="2" applyFont="1" applyFill="1"/>
    <xf numFmtId="9" fontId="2" fillId="4" borderId="0" xfId="2" applyFont="1" applyFill="1"/>
    <xf numFmtId="43" fontId="3" fillId="0" borderId="0" xfId="1" applyFont="1" applyFill="1" applyAlignment="1">
      <alignment horizontal="center"/>
    </xf>
    <xf numFmtId="1" fontId="2" fillId="0" borderId="0" xfId="1" applyNumberFormat="1" applyFont="1"/>
    <xf numFmtId="1" fontId="3" fillId="0" borderId="0" xfId="1" applyNumberFormat="1" applyFont="1"/>
    <xf numFmtId="1" fontId="2" fillId="0" borderId="0" xfId="2" applyNumberFormat="1" applyFont="1"/>
    <xf numFmtId="43" fontId="2" fillId="0" borderId="3" xfId="1" applyFont="1" applyBorder="1"/>
    <xf numFmtId="43" fontId="3" fillId="0" borderId="3" xfId="1" applyFont="1" applyBorder="1"/>
    <xf numFmtId="43" fontId="3" fillId="3" borderId="0" xfId="1" applyFont="1" applyFill="1"/>
    <xf numFmtId="9" fontId="2" fillId="3" borderId="0" xfId="2" applyFont="1" applyFill="1"/>
    <xf numFmtId="0" fontId="2" fillId="0" borderId="3" xfId="0" applyFont="1" applyBorder="1"/>
    <xf numFmtId="8" fontId="2" fillId="0" borderId="3" xfId="0" applyNumberFormat="1" applyFont="1" applyBorder="1"/>
    <xf numFmtId="8" fontId="7" fillId="0" borderId="0" xfId="1" applyNumberFormat="1" applyFont="1"/>
    <xf numFmtId="43" fontId="7" fillId="3" borderId="0" xfId="1" applyFont="1" applyFill="1"/>
    <xf numFmtId="8" fontId="2" fillId="0" borderId="0" xfId="1" applyNumberFormat="1" applyFont="1"/>
    <xf numFmtId="43" fontId="3" fillId="0" borderId="0" xfId="1" applyFont="1" applyFill="1" applyAlignment="1">
      <alignment horizontal="center" wrapText="1"/>
    </xf>
    <xf numFmtId="2" fontId="2" fillId="0" borderId="0" xfId="1" applyNumberFormat="1" applyFont="1"/>
    <xf numFmtId="2" fontId="3" fillId="0" borderId="0" xfId="1" applyNumberFormat="1" applyFont="1"/>
    <xf numFmtId="0" fontId="2" fillId="5" borderId="3" xfId="0" applyFont="1" applyFill="1" applyBorder="1"/>
    <xf numFmtId="165" fontId="2" fillId="5" borderId="3" xfId="1" applyNumberFormat="1" applyFont="1" applyFill="1" applyBorder="1"/>
    <xf numFmtId="2" fontId="3" fillId="2" borderId="1" xfId="1" applyNumberFormat="1" applyFont="1" applyFill="1" applyBorder="1"/>
    <xf numFmtId="2" fontId="3" fillId="0" borderId="0" xfId="1" applyNumberFormat="1" applyFont="1" applyFill="1"/>
    <xf numFmtId="0" fontId="2" fillId="5" borderId="0" xfId="0" applyFont="1" applyFill="1" applyBorder="1"/>
    <xf numFmtId="49" fontId="3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43" fontId="10" fillId="2" borderId="0" xfId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/>
    <xf numFmtId="9" fontId="2" fillId="0" borderId="0" xfId="2" applyFont="1" applyFill="1"/>
    <xf numFmtId="164" fontId="2" fillId="0" borderId="0" xfId="1" applyNumberFormat="1" applyFont="1" applyFill="1"/>
    <xf numFmtId="2" fontId="2" fillId="0" borderId="0" xfId="0" applyNumberFormat="1" applyFont="1"/>
    <xf numFmtId="2" fontId="3" fillId="0" borderId="0" xfId="0" applyNumberFormat="1" applyFont="1"/>
    <xf numFmtId="2" fontId="3" fillId="2" borderId="0" xfId="0" applyNumberFormat="1" applyFont="1" applyFill="1" applyAlignment="1">
      <alignment horizontal="center" wrapText="1"/>
    </xf>
    <xf numFmtId="2" fontId="3" fillId="2" borderId="0" xfId="0" applyNumberFormat="1" applyFont="1" applyFill="1" applyAlignment="1">
      <alignment horizontal="center"/>
    </xf>
    <xf numFmtId="2" fontId="3" fillId="2" borderId="0" xfId="1" applyNumberFormat="1" applyFont="1" applyFill="1" applyAlignment="1">
      <alignment horizontal="center"/>
    </xf>
    <xf numFmtId="2" fontId="3" fillId="2" borderId="0" xfId="1" applyNumberFormat="1" applyFont="1" applyFill="1" applyAlignment="1">
      <alignment horizontal="center" wrapText="1"/>
    </xf>
    <xf numFmtId="2" fontId="2" fillId="0" borderId="0" xfId="0" applyNumberFormat="1" applyFont="1" applyAlignment="1">
      <alignment wrapText="1"/>
    </xf>
    <xf numFmtId="2" fontId="2" fillId="2" borderId="0" xfId="0" applyNumberFormat="1" applyFont="1" applyFill="1"/>
    <xf numFmtId="2" fontId="4" fillId="2" borderId="0" xfId="0" applyNumberFormat="1" applyFont="1" applyFill="1" applyAlignment="1"/>
    <xf numFmtId="2" fontId="3" fillId="2" borderId="0" xfId="1" applyNumberFormat="1" applyFont="1" applyFill="1"/>
    <xf numFmtId="2" fontId="3" fillId="2" borderId="0" xfId="2" applyNumberFormat="1" applyFont="1" applyFill="1"/>
    <xf numFmtId="2" fontId="3" fillId="2" borderId="1" xfId="0" applyNumberFormat="1" applyFont="1" applyFill="1" applyBorder="1"/>
    <xf numFmtId="2" fontId="3" fillId="2" borderId="1" xfId="2" applyNumberFormat="1" applyFont="1" applyFill="1" applyBorder="1"/>
    <xf numFmtId="2" fontId="2" fillId="4" borderId="0" xfId="0" applyNumberFormat="1" applyFont="1" applyFill="1"/>
    <xf numFmtId="2" fontId="2" fillId="0" borderId="0" xfId="0" applyNumberFormat="1" applyFont="1" applyFill="1"/>
    <xf numFmtId="2" fontId="9" fillId="0" borderId="0" xfId="0" applyNumberFormat="1" applyFont="1"/>
    <xf numFmtId="2" fontId="9" fillId="3" borderId="0" xfId="2" applyNumberFormat="1" applyFont="1" applyFill="1"/>
    <xf numFmtId="2" fontId="2" fillId="0" borderId="3" xfId="1" applyNumberFormat="1" applyFont="1" applyBorder="1"/>
    <xf numFmtId="2" fontId="3" fillId="0" borderId="3" xfId="1" applyNumberFormat="1" applyFont="1" applyBorder="1"/>
    <xf numFmtId="2" fontId="2" fillId="0" borderId="0" xfId="2" applyNumberFormat="1" applyFont="1"/>
    <xf numFmtId="2" fontId="2" fillId="0" borderId="3" xfId="0" applyNumberFormat="1" applyFont="1" applyBorder="1"/>
    <xf numFmtId="2" fontId="2" fillId="5" borderId="3" xfId="0" applyNumberFormat="1" applyFont="1" applyFill="1" applyBorder="1"/>
    <xf numFmtId="2" fontId="7" fillId="6" borderId="0" xfId="0" applyNumberFormat="1" applyFont="1" applyFill="1" applyAlignment="1">
      <alignment horizontal="center"/>
    </xf>
    <xf numFmtId="2" fontId="7" fillId="6" borderId="0" xfId="0" applyNumberFormat="1" applyFont="1" applyFill="1" applyAlignment="1"/>
    <xf numFmtId="2" fontId="2" fillId="5" borderId="3" xfId="1" applyNumberFormat="1" applyFont="1" applyFill="1" applyBorder="1"/>
    <xf numFmtId="2" fontId="3" fillId="0" borderId="0" xfId="1" applyNumberFormat="1" applyFont="1" applyFill="1" applyAlignment="1">
      <alignment horizontal="center" wrapText="1"/>
    </xf>
    <xf numFmtId="2" fontId="3" fillId="2" borderId="0" xfId="2" applyNumberFormat="1" applyFont="1" applyFill="1" applyAlignment="1">
      <alignment horizontal="center"/>
    </xf>
    <xf numFmtId="2" fontId="3" fillId="0" borderId="1" xfId="1" applyNumberFormat="1" applyFont="1" applyFill="1" applyBorder="1"/>
    <xf numFmtId="2" fontId="2" fillId="2" borderId="0" xfId="2" applyNumberFormat="1" applyFont="1" applyFill="1"/>
    <xf numFmtId="2" fontId="2" fillId="4" borderId="0" xfId="1" applyNumberFormat="1" applyFont="1" applyFill="1"/>
    <xf numFmtId="2" fontId="3" fillId="4" borderId="0" xfId="1" applyNumberFormat="1" applyFont="1" applyFill="1"/>
    <xf numFmtId="2" fontId="2" fillId="4" borderId="0" xfId="2" applyNumberFormat="1" applyFont="1" applyFill="1"/>
    <xf numFmtId="2" fontId="3" fillId="0" borderId="0" xfId="2" applyNumberFormat="1" applyFont="1"/>
    <xf numFmtId="2" fontId="3" fillId="3" borderId="0" xfId="1" applyNumberFormat="1" applyFont="1" applyFill="1"/>
    <xf numFmtId="2" fontId="2" fillId="3" borderId="0" xfId="2" applyNumberFormat="1" applyFont="1" applyFill="1"/>
    <xf numFmtId="43" fontId="7" fillId="4" borderId="0" xfId="1" applyFont="1" applyFill="1"/>
    <xf numFmtId="43" fontId="8" fillId="3" borderId="0" xfId="1" applyFont="1" applyFill="1"/>
    <xf numFmtId="8" fontId="8" fillId="0" borderId="0" xfId="1" applyNumberFormat="1" applyFont="1"/>
    <xf numFmtId="164" fontId="2" fillId="2" borderId="0" xfId="1" applyNumberFormat="1" applyFont="1" applyFill="1"/>
    <xf numFmtId="43" fontId="2" fillId="2" borderId="0" xfId="2" applyNumberFormat="1" applyFont="1" applyFill="1"/>
    <xf numFmtId="2" fontId="3" fillId="2" borderId="0" xfId="0" applyNumberFormat="1" applyFont="1" applyFill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7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D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5\Datos\Compartida\Finanzas\Arsen%20Finanzas%20O\Sigma%20Finanzas%20O\SI%20Gerencial%20O\SI%202024\01-2024%20Enero%20SG\EF%20enero%202024%20Sigmaseg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5\Datos\Compartida\Finanzas\Arsen%20Finanzas%20O\Sigma%20Finanzas%20O\SI%20Gerencial%20O\SI%202024\02-2024%20Febrero%20SG\EF%20febrero%202024%20Sigmaseg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"/>
      <sheetName val="ER"/>
      <sheetName val="Utilidad por unidad de negocio"/>
      <sheetName val="Ut.  unidad de negocio mensual"/>
      <sheetName val="Desglose de Ingresos y costos"/>
      <sheetName val="ingresos y costos con cambios"/>
      <sheetName val="Desglose Gastos admon."/>
      <sheetName val="Desglose de Ingresos y costm"/>
    </sheetNames>
    <sheetDataSet>
      <sheetData sheetId="0"/>
      <sheetData sheetId="1"/>
      <sheetData sheetId="2"/>
      <sheetData sheetId="3">
        <row r="2">
          <cell r="A2" t="str">
            <v>Sigmaseg S.A. de C.V.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"/>
      <sheetName val="ER"/>
      <sheetName val="Utilidad por unidad de negocio"/>
      <sheetName val="Ut.  unidad de negocio mensual"/>
      <sheetName val="Desglose de Ingresos y costos"/>
      <sheetName val="Desglose de Ingresos y costm"/>
      <sheetName val="Ingresos y costm cambios"/>
      <sheetName val="Desglose Gastos admon."/>
    </sheetNames>
    <sheetDataSet>
      <sheetData sheetId="0"/>
      <sheetData sheetId="1"/>
      <sheetData sheetId="2"/>
      <sheetData sheetId="3">
        <row r="2">
          <cell r="A2" t="str">
            <v>Sigmaseg S.A. de C.V.</v>
          </cell>
        </row>
        <row r="4">
          <cell r="A4">
            <v>45323</v>
          </cell>
        </row>
      </sheetData>
      <sheetData sheetId="4">
        <row r="42">
          <cell r="A42" t="str">
            <v>Artículos de limpieza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6F2A-CB36-4B6D-A626-2B76BC5FCF9E}">
  <sheetPr>
    <tabColor rgb="FF7030A0"/>
  </sheetPr>
  <dimension ref="A1:AV61"/>
  <sheetViews>
    <sheetView zoomScaleNormal="100" workbookViewId="0">
      <pane xSplit="1" ySplit="6" topLeftCell="AI46" activePane="bottomRight" state="frozen"/>
      <selection pane="topRight" activeCell="B1" sqref="B1"/>
      <selection pane="bottomLeft" activeCell="A7" sqref="A7"/>
      <selection pane="bottomRight" activeCell="AW60" sqref="AW60"/>
    </sheetView>
  </sheetViews>
  <sheetFormatPr baseColWidth="10" defaultRowHeight="12" x14ac:dyDescent="0.2"/>
  <cols>
    <col min="1" max="1" width="26.140625" style="69" bestFit="1" customWidth="1"/>
    <col min="2" max="2" width="11.42578125" style="69" customWidth="1"/>
    <col min="3" max="3" width="11.140625" style="69" customWidth="1"/>
    <col min="4" max="4" width="10.42578125" style="69" customWidth="1"/>
    <col min="5" max="5" width="11.140625" style="69" customWidth="1"/>
    <col min="6" max="6" width="10" style="69" customWidth="1"/>
    <col min="7" max="7" width="11.28515625" style="69" customWidth="1"/>
    <col min="8" max="8" width="12.42578125" style="69" customWidth="1"/>
    <col min="9" max="9" width="11" style="69" customWidth="1"/>
    <col min="10" max="10" width="13" style="69" customWidth="1"/>
    <col min="11" max="11" width="10.140625" style="69" customWidth="1"/>
    <col min="12" max="12" width="11.7109375" style="69" customWidth="1"/>
    <col min="13" max="13" width="11.42578125" style="69" customWidth="1"/>
    <col min="14" max="14" width="9.28515625" style="70" customWidth="1"/>
    <col min="15" max="15" width="11.42578125" style="70" hidden="1" customWidth="1"/>
    <col min="16" max="16" width="11.42578125" style="70" customWidth="1"/>
    <col min="17" max="18" width="10.42578125" style="70" customWidth="1"/>
    <col min="19" max="19" width="10.85546875" style="70" customWidth="1"/>
    <col min="20" max="20" width="12.7109375" style="70" customWidth="1"/>
    <col min="21" max="21" width="13.28515625" style="70" customWidth="1"/>
    <col min="22" max="22" width="12" style="69" customWidth="1"/>
    <col min="23" max="23" width="12.7109375" style="69" hidden="1" customWidth="1"/>
    <col min="24" max="24" width="11.85546875" style="69" hidden="1" customWidth="1"/>
    <col min="25" max="25" width="12.85546875" style="69" hidden="1" customWidth="1"/>
    <col min="26" max="26" width="12.85546875" style="69" customWidth="1"/>
    <col min="27" max="27" width="11.28515625" style="69" customWidth="1"/>
    <col min="28" max="28" width="10.42578125" style="69" customWidth="1"/>
    <col min="29" max="29" width="11.42578125" style="69" customWidth="1"/>
    <col min="30" max="30" width="12.28515625" style="69" customWidth="1"/>
    <col min="31" max="31" width="10.5703125" style="69" customWidth="1"/>
    <col min="32" max="32" width="12.28515625" style="69" customWidth="1"/>
    <col min="33" max="33" width="13.42578125" style="69" hidden="1" customWidth="1"/>
    <col min="34" max="34" width="11" style="69" customWidth="1"/>
    <col min="35" max="35" width="10.140625" style="69" customWidth="1"/>
    <col min="36" max="36" width="12" style="69" customWidth="1"/>
    <col min="37" max="37" width="11.42578125" style="69" customWidth="1"/>
    <col min="38" max="38" width="11.42578125" style="69" hidden="1" customWidth="1"/>
    <col min="39" max="43" width="11.42578125" style="69" customWidth="1"/>
    <col min="44" max="45" width="13" style="69" customWidth="1"/>
    <col min="46" max="46" width="12.42578125" style="69" bestFit="1" customWidth="1"/>
    <col min="47" max="48" width="9.85546875" style="69" bestFit="1" customWidth="1"/>
    <col min="49" max="262" width="11.42578125" style="69"/>
    <col min="263" max="263" width="26.140625" style="69" bestFit="1" customWidth="1"/>
    <col min="264" max="264" width="11.42578125" style="69"/>
    <col min="265" max="265" width="11.140625" style="69" customWidth="1"/>
    <col min="266" max="266" width="10.42578125" style="69" customWidth="1"/>
    <col min="267" max="267" width="11.140625" style="69" customWidth="1"/>
    <col min="268" max="268" width="12" style="69" customWidth="1"/>
    <col min="269" max="269" width="11.28515625" style="69" customWidth="1"/>
    <col min="270" max="270" width="12.42578125" style="69" customWidth="1"/>
    <col min="271" max="271" width="13.42578125" style="69" customWidth="1"/>
    <col min="272" max="272" width="13" style="69" customWidth="1"/>
    <col min="273" max="273" width="10.140625" style="69" customWidth="1"/>
    <col min="274" max="274" width="11.7109375" style="69" customWidth="1"/>
    <col min="275" max="275" width="11.42578125" style="69" customWidth="1"/>
    <col min="276" max="276" width="9.28515625" style="69" customWidth="1"/>
    <col min="277" max="278" width="11.42578125" style="69" customWidth="1"/>
    <col min="279" max="280" width="10.42578125" style="69" customWidth="1"/>
    <col min="281" max="281" width="10.85546875" style="69" customWidth="1"/>
    <col min="282" max="282" width="12.7109375" style="69" customWidth="1"/>
    <col min="283" max="283" width="13.28515625" style="69" customWidth="1"/>
    <col min="284" max="284" width="13.85546875" style="69" customWidth="1"/>
    <col min="285" max="285" width="12.7109375" style="69" customWidth="1"/>
    <col min="286" max="286" width="11.85546875" style="69" customWidth="1"/>
    <col min="287" max="288" width="12.85546875" style="69" customWidth="1"/>
    <col min="289" max="289" width="11.28515625" style="69" customWidth="1"/>
    <col min="290" max="290" width="10.42578125" style="69" customWidth="1"/>
    <col min="291" max="291" width="11.42578125" style="69" customWidth="1"/>
    <col min="292" max="292" width="12.28515625" style="69" customWidth="1"/>
    <col min="293" max="293" width="9.85546875" style="69" customWidth="1"/>
    <col min="294" max="294" width="12.28515625" style="69" customWidth="1"/>
    <col min="295" max="295" width="13.42578125" style="69" customWidth="1"/>
    <col min="296" max="296" width="11" style="69" customWidth="1"/>
    <col min="297" max="298" width="12" style="69" customWidth="1"/>
    <col min="299" max="299" width="11.42578125" style="69"/>
    <col min="300" max="300" width="8.28515625" style="69" customWidth="1"/>
    <col min="301" max="301" width="13" style="69" customWidth="1"/>
    <col min="302" max="302" width="11.140625" style="69" bestFit="1" customWidth="1"/>
    <col min="303" max="304" width="9.85546875" style="69" bestFit="1" customWidth="1"/>
    <col min="305" max="518" width="11.42578125" style="69"/>
    <col min="519" max="519" width="26.140625" style="69" bestFit="1" customWidth="1"/>
    <col min="520" max="520" width="11.42578125" style="69"/>
    <col min="521" max="521" width="11.140625" style="69" customWidth="1"/>
    <col min="522" max="522" width="10.42578125" style="69" customWidth="1"/>
    <col min="523" max="523" width="11.140625" style="69" customWidth="1"/>
    <col min="524" max="524" width="12" style="69" customWidth="1"/>
    <col min="525" max="525" width="11.28515625" style="69" customWidth="1"/>
    <col min="526" max="526" width="12.42578125" style="69" customWidth="1"/>
    <col min="527" max="527" width="13.42578125" style="69" customWidth="1"/>
    <col min="528" max="528" width="13" style="69" customWidth="1"/>
    <col min="529" max="529" width="10.140625" style="69" customWidth="1"/>
    <col min="530" max="530" width="11.7109375" style="69" customWidth="1"/>
    <col min="531" max="531" width="11.42578125" style="69" customWidth="1"/>
    <col min="532" max="532" width="9.28515625" style="69" customWidth="1"/>
    <col min="533" max="534" width="11.42578125" style="69" customWidth="1"/>
    <col min="535" max="536" width="10.42578125" style="69" customWidth="1"/>
    <col min="537" max="537" width="10.85546875" style="69" customWidth="1"/>
    <col min="538" max="538" width="12.7109375" style="69" customWidth="1"/>
    <col min="539" max="539" width="13.28515625" style="69" customWidth="1"/>
    <col min="540" max="540" width="13.85546875" style="69" customWidth="1"/>
    <col min="541" max="541" width="12.7109375" style="69" customWidth="1"/>
    <col min="542" max="542" width="11.85546875" style="69" customWidth="1"/>
    <col min="543" max="544" width="12.85546875" style="69" customWidth="1"/>
    <col min="545" max="545" width="11.28515625" style="69" customWidth="1"/>
    <col min="546" max="546" width="10.42578125" style="69" customWidth="1"/>
    <col min="547" max="547" width="11.42578125" style="69" customWidth="1"/>
    <col min="548" max="548" width="12.28515625" style="69" customWidth="1"/>
    <col min="549" max="549" width="9.85546875" style="69" customWidth="1"/>
    <col min="550" max="550" width="12.28515625" style="69" customWidth="1"/>
    <col min="551" max="551" width="13.42578125" style="69" customWidth="1"/>
    <col min="552" max="552" width="11" style="69" customWidth="1"/>
    <col min="553" max="554" width="12" style="69" customWidth="1"/>
    <col min="555" max="555" width="11.42578125" style="69"/>
    <col min="556" max="556" width="8.28515625" style="69" customWidth="1"/>
    <col min="557" max="557" width="13" style="69" customWidth="1"/>
    <col min="558" max="558" width="11.140625" style="69" bestFit="1" customWidth="1"/>
    <col min="559" max="560" width="9.85546875" style="69" bestFit="1" customWidth="1"/>
    <col min="561" max="774" width="11.42578125" style="69"/>
    <col min="775" max="775" width="26.140625" style="69" bestFit="1" customWidth="1"/>
    <col min="776" max="776" width="11.42578125" style="69"/>
    <col min="777" max="777" width="11.140625" style="69" customWidth="1"/>
    <col min="778" max="778" width="10.42578125" style="69" customWidth="1"/>
    <col min="779" max="779" width="11.140625" style="69" customWidth="1"/>
    <col min="780" max="780" width="12" style="69" customWidth="1"/>
    <col min="781" max="781" width="11.28515625" style="69" customWidth="1"/>
    <col min="782" max="782" width="12.42578125" style="69" customWidth="1"/>
    <col min="783" max="783" width="13.42578125" style="69" customWidth="1"/>
    <col min="784" max="784" width="13" style="69" customWidth="1"/>
    <col min="785" max="785" width="10.140625" style="69" customWidth="1"/>
    <col min="786" max="786" width="11.7109375" style="69" customWidth="1"/>
    <col min="787" max="787" width="11.42578125" style="69" customWidth="1"/>
    <col min="788" max="788" width="9.28515625" style="69" customWidth="1"/>
    <col min="789" max="790" width="11.42578125" style="69" customWidth="1"/>
    <col min="791" max="792" width="10.42578125" style="69" customWidth="1"/>
    <col min="793" max="793" width="10.85546875" style="69" customWidth="1"/>
    <col min="794" max="794" width="12.7109375" style="69" customWidth="1"/>
    <col min="795" max="795" width="13.28515625" style="69" customWidth="1"/>
    <col min="796" max="796" width="13.85546875" style="69" customWidth="1"/>
    <col min="797" max="797" width="12.7109375" style="69" customWidth="1"/>
    <col min="798" max="798" width="11.85546875" style="69" customWidth="1"/>
    <col min="799" max="800" width="12.85546875" style="69" customWidth="1"/>
    <col min="801" max="801" width="11.28515625" style="69" customWidth="1"/>
    <col min="802" max="802" width="10.42578125" style="69" customWidth="1"/>
    <col min="803" max="803" width="11.42578125" style="69" customWidth="1"/>
    <col min="804" max="804" width="12.28515625" style="69" customWidth="1"/>
    <col min="805" max="805" width="9.85546875" style="69" customWidth="1"/>
    <col min="806" max="806" width="12.28515625" style="69" customWidth="1"/>
    <col min="807" max="807" width="13.42578125" style="69" customWidth="1"/>
    <col min="808" max="808" width="11" style="69" customWidth="1"/>
    <col min="809" max="810" width="12" style="69" customWidth="1"/>
    <col min="811" max="811" width="11.42578125" style="69"/>
    <col min="812" max="812" width="8.28515625" style="69" customWidth="1"/>
    <col min="813" max="813" width="13" style="69" customWidth="1"/>
    <col min="814" max="814" width="11.140625" style="69" bestFit="1" customWidth="1"/>
    <col min="815" max="816" width="9.85546875" style="69" bestFit="1" customWidth="1"/>
    <col min="817" max="1030" width="11.42578125" style="69"/>
    <col min="1031" max="1031" width="26.140625" style="69" bestFit="1" customWidth="1"/>
    <col min="1032" max="1032" width="11.42578125" style="69"/>
    <col min="1033" max="1033" width="11.140625" style="69" customWidth="1"/>
    <col min="1034" max="1034" width="10.42578125" style="69" customWidth="1"/>
    <col min="1035" max="1035" width="11.140625" style="69" customWidth="1"/>
    <col min="1036" max="1036" width="12" style="69" customWidth="1"/>
    <col min="1037" max="1037" width="11.28515625" style="69" customWidth="1"/>
    <col min="1038" max="1038" width="12.42578125" style="69" customWidth="1"/>
    <col min="1039" max="1039" width="13.42578125" style="69" customWidth="1"/>
    <col min="1040" max="1040" width="13" style="69" customWidth="1"/>
    <col min="1041" max="1041" width="10.140625" style="69" customWidth="1"/>
    <col min="1042" max="1042" width="11.7109375" style="69" customWidth="1"/>
    <col min="1043" max="1043" width="11.42578125" style="69" customWidth="1"/>
    <col min="1044" max="1044" width="9.28515625" style="69" customWidth="1"/>
    <col min="1045" max="1046" width="11.42578125" style="69" customWidth="1"/>
    <col min="1047" max="1048" width="10.42578125" style="69" customWidth="1"/>
    <col min="1049" max="1049" width="10.85546875" style="69" customWidth="1"/>
    <col min="1050" max="1050" width="12.7109375" style="69" customWidth="1"/>
    <col min="1051" max="1051" width="13.28515625" style="69" customWidth="1"/>
    <col min="1052" max="1052" width="13.85546875" style="69" customWidth="1"/>
    <col min="1053" max="1053" width="12.7109375" style="69" customWidth="1"/>
    <col min="1054" max="1054" width="11.85546875" style="69" customWidth="1"/>
    <col min="1055" max="1056" width="12.85546875" style="69" customWidth="1"/>
    <col min="1057" max="1057" width="11.28515625" style="69" customWidth="1"/>
    <col min="1058" max="1058" width="10.42578125" style="69" customWidth="1"/>
    <col min="1059" max="1059" width="11.42578125" style="69" customWidth="1"/>
    <col min="1060" max="1060" width="12.28515625" style="69" customWidth="1"/>
    <col min="1061" max="1061" width="9.85546875" style="69" customWidth="1"/>
    <col min="1062" max="1062" width="12.28515625" style="69" customWidth="1"/>
    <col min="1063" max="1063" width="13.42578125" style="69" customWidth="1"/>
    <col min="1064" max="1064" width="11" style="69" customWidth="1"/>
    <col min="1065" max="1066" width="12" style="69" customWidth="1"/>
    <col min="1067" max="1067" width="11.42578125" style="69"/>
    <col min="1068" max="1068" width="8.28515625" style="69" customWidth="1"/>
    <col min="1069" max="1069" width="13" style="69" customWidth="1"/>
    <col min="1070" max="1070" width="11.140625" style="69" bestFit="1" customWidth="1"/>
    <col min="1071" max="1072" width="9.85546875" style="69" bestFit="1" customWidth="1"/>
    <col min="1073" max="1286" width="11.42578125" style="69"/>
    <col min="1287" max="1287" width="26.140625" style="69" bestFit="1" customWidth="1"/>
    <col min="1288" max="1288" width="11.42578125" style="69"/>
    <col min="1289" max="1289" width="11.140625" style="69" customWidth="1"/>
    <col min="1290" max="1290" width="10.42578125" style="69" customWidth="1"/>
    <col min="1291" max="1291" width="11.140625" style="69" customWidth="1"/>
    <col min="1292" max="1292" width="12" style="69" customWidth="1"/>
    <col min="1293" max="1293" width="11.28515625" style="69" customWidth="1"/>
    <col min="1294" max="1294" width="12.42578125" style="69" customWidth="1"/>
    <col min="1295" max="1295" width="13.42578125" style="69" customWidth="1"/>
    <col min="1296" max="1296" width="13" style="69" customWidth="1"/>
    <col min="1297" max="1297" width="10.140625" style="69" customWidth="1"/>
    <col min="1298" max="1298" width="11.7109375" style="69" customWidth="1"/>
    <col min="1299" max="1299" width="11.42578125" style="69" customWidth="1"/>
    <col min="1300" max="1300" width="9.28515625" style="69" customWidth="1"/>
    <col min="1301" max="1302" width="11.42578125" style="69" customWidth="1"/>
    <col min="1303" max="1304" width="10.42578125" style="69" customWidth="1"/>
    <col min="1305" max="1305" width="10.85546875" style="69" customWidth="1"/>
    <col min="1306" max="1306" width="12.7109375" style="69" customWidth="1"/>
    <col min="1307" max="1307" width="13.28515625" style="69" customWidth="1"/>
    <col min="1308" max="1308" width="13.85546875" style="69" customWidth="1"/>
    <col min="1309" max="1309" width="12.7109375" style="69" customWidth="1"/>
    <col min="1310" max="1310" width="11.85546875" style="69" customWidth="1"/>
    <col min="1311" max="1312" width="12.85546875" style="69" customWidth="1"/>
    <col min="1313" max="1313" width="11.28515625" style="69" customWidth="1"/>
    <col min="1314" max="1314" width="10.42578125" style="69" customWidth="1"/>
    <col min="1315" max="1315" width="11.42578125" style="69" customWidth="1"/>
    <col min="1316" max="1316" width="12.28515625" style="69" customWidth="1"/>
    <col min="1317" max="1317" width="9.85546875" style="69" customWidth="1"/>
    <col min="1318" max="1318" width="12.28515625" style="69" customWidth="1"/>
    <col min="1319" max="1319" width="13.42578125" style="69" customWidth="1"/>
    <col min="1320" max="1320" width="11" style="69" customWidth="1"/>
    <col min="1321" max="1322" width="12" style="69" customWidth="1"/>
    <col min="1323" max="1323" width="11.42578125" style="69"/>
    <col min="1324" max="1324" width="8.28515625" style="69" customWidth="1"/>
    <col min="1325" max="1325" width="13" style="69" customWidth="1"/>
    <col min="1326" max="1326" width="11.140625" style="69" bestFit="1" customWidth="1"/>
    <col min="1327" max="1328" width="9.85546875" style="69" bestFit="1" customWidth="1"/>
    <col min="1329" max="1542" width="11.42578125" style="69"/>
    <col min="1543" max="1543" width="26.140625" style="69" bestFit="1" customWidth="1"/>
    <col min="1544" max="1544" width="11.42578125" style="69"/>
    <col min="1545" max="1545" width="11.140625" style="69" customWidth="1"/>
    <col min="1546" max="1546" width="10.42578125" style="69" customWidth="1"/>
    <col min="1547" max="1547" width="11.140625" style="69" customWidth="1"/>
    <col min="1548" max="1548" width="12" style="69" customWidth="1"/>
    <col min="1549" max="1549" width="11.28515625" style="69" customWidth="1"/>
    <col min="1550" max="1550" width="12.42578125" style="69" customWidth="1"/>
    <col min="1551" max="1551" width="13.42578125" style="69" customWidth="1"/>
    <col min="1552" max="1552" width="13" style="69" customWidth="1"/>
    <col min="1553" max="1553" width="10.140625" style="69" customWidth="1"/>
    <col min="1554" max="1554" width="11.7109375" style="69" customWidth="1"/>
    <col min="1555" max="1555" width="11.42578125" style="69" customWidth="1"/>
    <col min="1556" max="1556" width="9.28515625" style="69" customWidth="1"/>
    <col min="1557" max="1558" width="11.42578125" style="69" customWidth="1"/>
    <col min="1559" max="1560" width="10.42578125" style="69" customWidth="1"/>
    <col min="1561" max="1561" width="10.85546875" style="69" customWidth="1"/>
    <col min="1562" max="1562" width="12.7109375" style="69" customWidth="1"/>
    <col min="1563" max="1563" width="13.28515625" style="69" customWidth="1"/>
    <col min="1564" max="1564" width="13.85546875" style="69" customWidth="1"/>
    <col min="1565" max="1565" width="12.7109375" style="69" customWidth="1"/>
    <col min="1566" max="1566" width="11.85546875" style="69" customWidth="1"/>
    <col min="1567" max="1568" width="12.85546875" style="69" customWidth="1"/>
    <col min="1569" max="1569" width="11.28515625" style="69" customWidth="1"/>
    <col min="1570" max="1570" width="10.42578125" style="69" customWidth="1"/>
    <col min="1571" max="1571" width="11.42578125" style="69" customWidth="1"/>
    <col min="1572" max="1572" width="12.28515625" style="69" customWidth="1"/>
    <col min="1573" max="1573" width="9.85546875" style="69" customWidth="1"/>
    <col min="1574" max="1574" width="12.28515625" style="69" customWidth="1"/>
    <col min="1575" max="1575" width="13.42578125" style="69" customWidth="1"/>
    <col min="1576" max="1576" width="11" style="69" customWidth="1"/>
    <col min="1577" max="1578" width="12" style="69" customWidth="1"/>
    <col min="1579" max="1579" width="11.42578125" style="69"/>
    <col min="1580" max="1580" width="8.28515625" style="69" customWidth="1"/>
    <col min="1581" max="1581" width="13" style="69" customWidth="1"/>
    <col min="1582" max="1582" width="11.140625" style="69" bestFit="1" customWidth="1"/>
    <col min="1583" max="1584" width="9.85546875" style="69" bestFit="1" customWidth="1"/>
    <col min="1585" max="1798" width="11.42578125" style="69"/>
    <col min="1799" max="1799" width="26.140625" style="69" bestFit="1" customWidth="1"/>
    <col min="1800" max="1800" width="11.42578125" style="69"/>
    <col min="1801" max="1801" width="11.140625" style="69" customWidth="1"/>
    <col min="1802" max="1802" width="10.42578125" style="69" customWidth="1"/>
    <col min="1803" max="1803" width="11.140625" style="69" customWidth="1"/>
    <col min="1804" max="1804" width="12" style="69" customWidth="1"/>
    <col min="1805" max="1805" width="11.28515625" style="69" customWidth="1"/>
    <col min="1806" max="1806" width="12.42578125" style="69" customWidth="1"/>
    <col min="1807" max="1807" width="13.42578125" style="69" customWidth="1"/>
    <col min="1808" max="1808" width="13" style="69" customWidth="1"/>
    <col min="1809" max="1809" width="10.140625" style="69" customWidth="1"/>
    <col min="1810" max="1810" width="11.7109375" style="69" customWidth="1"/>
    <col min="1811" max="1811" width="11.42578125" style="69" customWidth="1"/>
    <col min="1812" max="1812" width="9.28515625" style="69" customWidth="1"/>
    <col min="1813" max="1814" width="11.42578125" style="69" customWidth="1"/>
    <col min="1815" max="1816" width="10.42578125" style="69" customWidth="1"/>
    <col min="1817" max="1817" width="10.85546875" style="69" customWidth="1"/>
    <col min="1818" max="1818" width="12.7109375" style="69" customWidth="1"/>
    <col min="1819" max="1819" width="13.28515625" style="69" customWidth="1"/>
    <col min="1820" max="1820" width="13.85546875" style="69" customWidth="1"/>
    <col min="1821" max="1821" width="12.7109375" style="69" customWidth="1"/>
    <col min="1822" max="1822" width="11.85546875" style="69" customWidth="1"/>
    <col min="1823" max="1824" width="12.85546875" style="69" customWidth="1"/>
    <col min="1825" max="1825" width="11.28515625" style="69" customWidth="1"/>
    <col min="1826" max="1826" width="10.42578125" style="69" customWidth="1"/>
    <col min="1827" max="1827" width="11.42578125" style="69" customWidth="1"/>
    <col min="1828" max="1828" width="12.28515625" style="69" customWidth="1"/>
    <col min="1829" max="1829" width="9.85546875" style="69" customWidth="1"/>
    <col min="1830" max="1830" width="12.28515625" style="69" customWidth="1"/>
    <col min="1831" max="1831" width="13.42578125" style="69" customWidth="1"/>
    <col min="1832" max="1832" width="11" style="69" customWidth="1"/>
    <col min="1833" max="1834" width="12" style="69" customWidth="1"/>
    <col min="1835" max="1835" width="11.42578125" style="69"/>
    <col min="1836" max="1836" width="8.28515625" style="69" customWidth="1"/>
    <col min="1837" max="1837" width="13" style="69" customWidth="1"/>
    <col min="1838" max="1838" width="11.140625" style="69" bestFit="1" customWidth="1"/>
    <col min="1839" max="1840" width="9.85546875" style="69" bestFit="1" customWidth="1"/>
    <col min="1841" max="2054" width="11.42578125" style="69"/>
    <col min="2055" max="2055" width="26.140625" style="69" bestFit="1" customWidth="1"/>
    <col min="2056" max="2056" width="11.42578125" style="69"/>
    <col min="2057" max="2057" width="11.140625" style="69" customWidth="1"/>
    <col min="2058" max="2058" width="10.42578125" style="69" customWidth="1"/>
    <col min="2059" max="2059" width="11.140625" style="69" customWidth="1"/>
    <col min="2060" max="2060" width="12" style="69" customWidth="1"/>
    <col min="2061" max="2061" width="11.28515625" style="69" customWidth="1"/>
    <col min="2062" max="2062" width="12.42578125" style="69" customWidth="1"/>
    <col min="2063" max="2063" width="13.42578125" style="69" customWidth="1"/>
    <col min="2064" max="2064" width="13" style="69" customWidth="1"/>
    <col min="2065" max="2065" width="10.140625" style="69" customWidth="1"/>
    <col min="2066" max="2066" width="11.7109375" style="69" customWidth="1"/>
    <col min="2067" max="2067" width="11.42578125" style="69" customWidth="1"/>
    <col min="2068" max="2068" width="9.28515625" style="69" customWidth="1"/>
    <col min="2069" max="2070" width="11.42578125" style="69" customWidth="1"/>
    <col min="2071" max="2072" width="10.42578125" style="69" customWidth="1"/>
    <col min="2073" max="2073" width="10.85546875" style="69" customWidth="1"/>
    <col min="2074" max="2074" width="12.7109375" style="69" customWidth="1"/>
    <col min="2075" max="2075" width="13.28515625" style="69" customWidth="1"/>
    <col min="2076" max="2076" width="13.85546875" style="69" customWidth="1"/>
    <col min="2077" max="2077" width="12.7109375" style="69" customWidth="1"/>
    <col min="2078" max="2078" width="11.85546875" style="69" customWidth="1"/>
    <col min="2079" max="2080" width="12.85546875" style="69" customWidth="1"/>
    <col min="2081" max="2081" width="11.28515625" style="69" customWidth="1"/>
    <col min="2082" max="2082" width="10.42578125" style="69" customWidth="1"/>
    <col min="2083" max="2083" width="11.42578125" style="69" customWidth="1"/>
    <col min="2084" max="2084" width="12.28515625" style="69" customWidth="1"/>
    <col min="2085" max="2085" width="9.85546875" style="69" customWidth="1"/>
    <col min="2086" max="2086" width="12.28515625" style="69" customWidth="1"/>
    <col min="2087" max="2087" width="13.42578125" style="69" customWidth="1"/>
    <col min="2088" max="2088" width="11" style="69" customWidth="1"/>
    <col min="2089" max="2090" width="12" style="69" customWidth="1"/>
    <col min="2091" max="2091" width="11.42578125" style="69"/>
    <col min="2092" max="2092" width="8.28515625" style="69" customWidth="1"/>
    <col min="2093" max="2093" width="13" style="69" customWidth="1"/>
    <col min="2094" max="2094" width="11.140625" style="69" bestFit="1" customWidth="1"/>
    <col min="2095" max="2096" width="9.85546875" style="69" bestFit="1" customWidth="1"/>
    <col min="2097" max="2310" width="11.42578125" style="69"/>
    <col min="2311" max="2311" width="26.140625" style="69" bestFit="1" customWidth="1"/>
    <col min="2312" max="2312" width="11.42578125" style="69"/>
    <col min="2313" max="2313" width="11.140625" style="69" customWidth="1"/>
    <col min="2314" max="2314" width="10.42578125" style="69" customWidth="1"/>
    <col min="2315" max="2315" width="11.140625" style="69" customWidth="1"/>
    <col min="2316" max="2316" width="12" style="69" customWidth="1"/>
    <col min="2317" max="2317" width="11.28515625" style="69" customWidth="1"/>
    <col min="2318" max="2318" width="12.42578125" style="69" customWidth="1"/>
    <col min="2319" max="2319" width="13.42578125" style="69" customWidth="1"/>
    <col min="2320" max="2320" width="13" style="69" customWidth="1"/>
    <col min="2321" max="2321" width="10.140625" style="69" customWidth="1"/>
    <col min="2322" max="2322" width="11.7109375" style="69" customWidth="1"/>
    <col min="2323" max="2323" width="11.42578125" style="69" customWidth="1"/>
    <col min="2324" max="2324" width="9.28515625" style="69" customWidth="1"/>
    <col min="2325" max="2326" width="11.42578125" style="69" customWidth="1"/>
    <col min="2327" max="2328" width="10.42578125" style="69" customWidth="1"/>
    <col min="2329" max="2329" width="10.85546875" style="69" customWidth="1"/>
    <col min="2330" max="2330" width="12.7109375" style="69" customWidth="1"/>
    <col min="2331" max="2331" width="13.28515625" style="69" customWidth="1"/>
    <col min="2332" max="2332" width="13.85546875" style="69" customWidth="1"/>
    <col min="2333" max="2333" width="12.7109375" style="69" customWidth="1"/>
    <col min="2334" max="2334" width="11.85546875" style="69" customWidth="1"/>
    <col min="2335" max="2336" width="12.85546875" style="69" customWidth="1"/>
    <col min="2337" max="2337" width="11.28515625" style="69" customWidth="1"/>
    <col min="2338" max="2338" width="10.42578125" style="69" customWidth="1"/>
    <col min="2339" max="2339" width="11.42578125" style="69" customWidth="1"/>
    <col min="2340" max="2340" width="12.28515625" style="69" customWidth="1"/>
    <col min="2341" max="2341" width="9.85546875" style="69" customWidth="1"/>
    <col min="2342" max="2342" width="12.28515625" style="69" customWidth="1"/>
    <col min="2343" max="2343" width="13.42578125" style="69" customWidth="1"/>
    <col min="2344" max="2344" width="11" style="69" customWidth="1"/>
    <col min="2345" max="2346" width="12" style="69" customWidth="1"/>
    <col min="2347" max="2347" width="11.42578125" style="69"/>
    <col min="2348" max="2348" width="8.28515625" style="69" customWidth="1"/>
    <col min="2349" max="2349" width="13" style="69" customWidth="1"/>
    <col min="2350" max="2350" width="11.140625" style="69" bestFit="1" customWidth="1"/>
    <col min="2351" max="2352" width="9.85546875" style="69" bestFit="1" customWidth="1"/>
    <col min="2353" max="2566" width="11.42578125" style="69"/>
    <col min="2567" max="2567" width="26.140625" style="69" bestFit="1" customWidth="1"/>
    <col min="2568" max="2568" width="11.42578125" style="69"/>
    <col min="2569" max="2569" width="11.140625" style="69" customWidth="1"/>
    <col min="2570" max="2570" width="10.42578125" style="69" customWidth="1"/>
    <col min="2571" max="2571" width="11.140625" style="69" customWidth="1"/>
    <col min="2572" max="2572" width="12" style="69" customWidth="1"/>
    <col min="2573" max="2573" width="11.28515625" style="69" customWidth="1"/>
    <col min="2574" max="2574" width="12.42578125" style="69" customWidth="1"/>
    <col min="2575" max="2575" width="13.42578125" style="69" customWidth="1"/>
    <col min="2576" max="2576" width="13" style="69" customWidth="1"/>
    <col min="2577" max="2577" width="10.140625" style="69" customWidth="1"/>
    <col min="2578" max="2578" width="11.7109375" style="69" customWidth="1"/>
    <col min="2579" max="2579" width="11.42578125" style="69" customWidth="1"/>
    <col min="2580" max="2580" width="9.28515625" style="69" customWidth="1"/>
    <col min="2581" max="2582" width="11.42578125" style="69" customWidth="1"/>
    <col min="2583" max="2584" width="10.42578125" style="69" customWidth="1"/>
    <col min="2585" max="2585" width="10.85546875" style="69" customWidth="1"/>
    <col min="2586" max="2586" width="12.7109375" style="69" customWidth="1"/>
    <col min="2587" max="2587" width="13.28515625" style="69" customWidth="1"/>
    <col min="2588" max="2588" width="13.85546875" style="69" customWidth="1"/>
    <col min="2589" max="2589" width="12.7109375" style="69" customWidth="1"/>
    <col min="2590" max="2590" width="11.85546875" style="69" customWidth="1"/>
    <col min="2591" max="2592" width="12.85546875" style="69" customWidth="1"/>
    <col min="2593" max="2593" width="11.28515625" style="69" customWidth="1"/>
    <col min="2594" max="2594" width="10.42578125" style="69" customWidth="1"/>
    <col min="2595" max="2595" width="11.42578125" style="69" customWidth="1"/>
    <col min="2596" max="2596" width="12.28515625" style="69" customWidth="1"/>
    <col min="2597" max="2597" width="9.85546875" style="69" customWidth="1"/>
    <col min="2598" max="2598" width="12.28515625" style="69" customWidth="1"/>
    <col min="2599" max="2599" width="13.42578125" style="69" customWidth="1"/>
    <col min="2600" max="2600" width="11" style="69" customWidth="1"/>
    <col min="2601" max="2602" width="12" style="69" customWidth="1"/>
    <col min="2603" max="2603" width="11.42578125" style="69"/>
    <col min="2604" max="2604" width="8.28515625" style="69" customWidth="1"/>
    <col min="2605" max="2605" width="13" style="69" customWidth="1"/>
    <col min="2606" max="2606" width="11.140625" style="69" bestFit="1" customWidth="1"/>
    <col min="2607" max="2608" width="9.85546875" style="69" bestFit="1" customWidth="1"/>
    <col min="2609" max="2822" width="11.42578125" style="69"/>
    <col min="2823" max="2823" width="26.140625" style="69" bestFit="1" customWidth="1"/>
    <col min="2824" max="2824" width="11.42578125" style="69"/>
    <col min="2825" max="2825" width="11.140625" style="69" customWidth="1"/>
    <col min="2826" max="2826" width="10.42578125" style="69" customWidth="1"/>
    <col min="2827" max="2827" width="11.140625" style="69" customWidth="1"/>
    <col min="2828" max="2828" width="12" style="69" customWidth="1"/>
    <col min="2829" max="2829" width="11.28515625" style="69" customWidth="1"/>
    <col min="2830" max="2830" width="12.42578125" style="69" customWidth="1"/>
    <col min="2831" max="2831" width="13.42578125" style="69" customWidth="1"/>
    <col min="2832" max="2832" width="13" style="69" customWidth="1"/>
    <col min="2833" max="2833" width="10.140625" style="69" customWidth="1"/>
    <col min="2834" max="2834" width="11.7109375" style="69" customWidth="1"/>
    <col min="2835" max="2835" width="11.42578125" style="69" customWidth="1"/>
    <col min="2836" max="2836" width="9.28515625" style="69" customWidth="1"/>
    <col min="2837" max="2838" width="11.42578125" style="69" customWidth="1"/>
    <col min="2839" max="2840" width="10.42578125" style="69" customWidth="1"/>
    <col min="2841" max="2841" width="10.85546875" style="69" customWidth="1"/>
    <col min="2842" max="2842" width="12.7109375" style="69" customWidth="1"/>
    <col min="2843" max="2843" width="13.28515625" style="69" customWidth="1"/>
    <col min="2844" max="2844" width="13.85546875" style="69" customWidth="1"/>
    <col min="2845" max="2845" width="12.7109375" style="69" customWidth="1"/>
    <col min="2846" max="2846" width="11.85546875" style="69" customWidth="1"/>
    <col min="2847" max="2848" width="12.85546875" style="69" customWidth="1"/>
    <col min="2849" max="2849" width="11.28515625" style="69" customWidth="1"/>
    <col min="2850" max="2850" width="10.42578125" style="69" customWidth="1"/>
    <col min="2851" max="2851" width="11.42578125" style="69" customWidth="1"/>
    <col min="2852" max="2852" width="12.28515625" style="69" customWidth="1"/>
    <col min="2853" max="2853" width="9.85546875" style="69" customWidth="1"/>
    <col min="2854" max="2854" width="12.28515625" style="69" customWidth="1"/>
    <col min="2855" max="2855" width="13.42578125" style="69" customWidth="1"/>
    <col min="2856" max="2856" width="11" style="69" customWidth="1"/>
    <col min="2857" max="2858" width="12" style="69" customWidth="1"/>
    <col min="2859" max="2859" width="11.42578125" style="69"/>
    <col min="2860" max="2860" width="8.28515625" style="69" customWidth="1"/>
    <col min="2861" max="2861" width="13" style="69" customWidth="1"/>
    <col min="2862" max="2862" width="11.140625" style="69" bestFit="1" customWidth="1"/>
    <col min="2863" max="2864" width="9.85546875" style="69" bestFit="1" customWidth="1"/>
    <col min="2865" max="3078" width="11.42578125" style="69"/>
    <col min="3079" max="3079" width="26.140625" style="69" bestFit="1" customWidth="1"/>
    <col min="3080" max="3080" width="11.42578125" style="69"/>
    <col min="3081" max="3081" width="11.140625" style="69" customWidth="1"/>
    <col min="3082" max="3082" width="10.42578125" style="69" customWidth="1"/>
    <col min="3083" max="3083" width="11.140625" style="69" customWidth="1"/>
    <col min="3084" max="3084" width="12" style="69" customWidth="1"/>
    <col min="3085" max="3085" width="11.28515625" style="69" customWidth="1"/>
    <col min="3086" max="3086" width="12.42578125" style="69" customWidth="1"/>
    <col min="3087" max="3087" width="13.42578125" style="69" customWidth="1"/>
    <col min="3088" max="3088" width="13" style="69" customWidth="1"/>
    <col min="3089" max="3089" width="10.140625" style="69" customWidth="1"/>
    <col min="3090" max="3090" width="11.7109375" style="69" customWidth="1"/>
    <col min="3091" max="3091" width="11.42578125" style="69" customWidth="1"/>
    <col min="3092" max="3092" width="9.28515625" style="69" customWidth="1"/>
    <col min="3093" max="3094" width="11.42578125" style="69" customWidth="1"/>
    <col min="3095" max="3096" width="10.42578125" style="69" customWidth="1"/>
    <col min="3097" max="3097" width="10.85546875" style="69" customWidth="1"/>
    <col min="3098" max="3098" width="12.7109375" style="69" customWidth="1"/>
    <col min="3099" max="3099" width="13.28515625" style="69" customWidth="1"/>
    <col min="3100" max="3100" width="13.85546875" style="69" customWidth="1"/>
    <col min="3101" max="3101" width="12.7109375" style="69" customWidth="1"/>
    <col min="3102" max="3102" width="11.85546875" style="69" customWidth="1"/>
    <col min="3103" max="3104" width="12.85546875" style="69" customWidth="1"/>
    <col min="3105" max="3105" width="11.28515625" style="69" customWidth="1"/>
    <col min="3106" max="3106" width="10.42578125" style="69" customWidth="1"/>
    <col min="3107" max="3107" width="11.42578125" style="69" customWidth="1"/>
    <col min="3108" max="3108" width="12.28515625" style="69" customWidth="1"/>
    <col min="3109" max="3109" width="9.85546875" style="69" customWidth="1"/>
    <col min="3110" max="3110" width="12.28515625" style="69" customWidth="1"/>
    <col min="3111" max="3111" width="13.42578125" style="69" customWidth="1"/>
    <col min="3112" max="3112" width="11" style="69" customWidth="1"/>
    <col min="3113" max="3114" width="12" style="69" customWidth="1"/>
    <col min="3115" max="3115" width="11.42578125" style="69"/>
    <col min="3116" max="3116" width="8.28515625" style="69" customWidth="1"/>
    <col min="3117" max="3117" width="13" style="69" customWidth="1"/>
    <col min="3118" max="3118" width="11.140625" style="69" bestFit="1" customWidth="1"/>
    <col min="3119" max="3120" width="9.85546875" style="69" bestFit="1" customWidth="1"/>
    <col min="3121" max="3334" width="11.42578125" style="69"/>
    <col min="3335" max="3335" width="26.140625" style="69" bestFit="1" customWidth="1"/>
    <col min="3336" max="3336" width="11.42578125" style="69"/>
    <col min="3337" max="3337" width="11.140625" style="69" customWidth="1"/>
    <col min="3338" max="3338" width="10.42578125" style="69" customWidth="1"/>
    <col min="3339" max="3339" width="11.140625" style="69" customWidth="1"/>
    <col min="3340" max="3340" width="12" style="69" customWidth="1"/>
    <col min="3341" max="3341" width="11.28515625" style="69" customWidth="1"/>
    <col min="3342" max="3342" width="12.42578125" style="69" customWidth="1"/>
    <col min="3343" max="3343" width="13.42578125" style="69" customWidth="1"/>
    <col min="3344" max="3344" width="13" style="69" customWidth="1"/>
    <col min="3345" max="3345" width="10.140625" style="69" customWidth="1"/>
    <col min="3346" max="3346" width="11.7109375" style="69" customWidth="1"/>
    <col min="3347" max="3347" width="11.42578125" style="69" customWidth="1"/>
    <col min="3348" max="3348" width="9.28515625" style="69" customWidth="1"/>
    <col min="3349" max="3350" width="11.42578125" style="69" customWidth="1"/>
    <col min="3351" max="3352" width="10.42578125" style="69" customWidth="1"/>
    <col min="3353" max="3353" width="10.85546875" style="69" customWidth="1"/>
    <col min="3354" max="3354" width="12.7109375" style="69" customWidth="1"/>
    <col min="3355" max="3355" width="13.28515625" style="69" customWidth="1"/>
    <col min="3356" max="3356" width="13.85546875" style="69" customWidth="1"/>
    <col min="3357" max="3357" width="12.7109375" style="69" customWidth="1"/>
    <col min="3358" max="3358" width="11.85546875" style="69" customWidth="1"/>
    <col min="3359" max="3360" width="12.85546875" style="69" customWidth="1"/>
    <col min="3361" max="3361" width="11.28515625" style="69" customWidth="1"/>
    <col min="3362" max="3362" width="10.42578125" style="69" customWidth="1"/>
    <col min="3363" max="3363" width="11.42578125" style="69" customWidth="1"/>
    <col min="3364" max="3364" width="12.28515625" style="69" customWidth="1"/>
    <col min="3365" max="3365" width="9.85546875" style="69" customWidth="1"/>
    <col min="3366" max="3366" width="12.28515625" style="69" customWidth="1"/>
    <col min="3367" max="3367" width="13.42578125" style="69" customWidth="1"/>
    <col min="3368" max="3368" width="11" style="69" customWidth="1"/>
    <col min="3369" max="3370" width="12" style="69" customWidth="1"/>
    <col min="3371" max="3371" width="11.42578125" style="69"/>
    <col min="3372" max="3372" width="8.28515625" style="69" customWidth="1"/>
    <col min="3373" max="3373" width="13" style="69" customWidth="1"/>
    <col min="3374" max="3374" width="11.140625" style="69" bestFit="1" customWidth="1"/>
    <col min="3375" max="3376" width="9.85546875" style="69" bestFit="1" customWidth="1"/>
    <col min="3377" max="3590" width="11.42578125" style="69"/>
    <col min="3591" max="3591" width="26.140625" style="69" bestFit="1" customWidth="1"/>
    <col min="3592" max="3592" width="11.42578125" style="69"/>
    <col min="3593" max="3593" width="11.140625" style="69" customWidth="1"/>
    <col min="3594" max="3594" width="10.42578125" style="69" customWidth="1"/>
    <col min="3595" max="3595" width="11.140625" style="69" customWidth="1"/>
    <col min="3596" max="3596" width="12" style="69" customWidth="1"/>
    <col min="3597" max="3597" width="11.28515625" style="69" customWidth="1"/>
    <col min="3598" max="3598" width="12.42578125" style="69" customWidth="1"/>
    <col min="3599" max="3599" width="13.42578125" style="69" customWidth="1"/>
    <col min="3600" max="3600" width="13" style="69" customWidth="1"/>
    <col min="3601" max="3601" width="10.140625" style="69" customWidth="1"/>
    <col min="3602" max="3602" width="11.7109375" style="69" customWidth="1"/>
    <col min="3603" max="3603" width="11.42578125" style="69" customWidth="1"/>
    <col min="3604" max="3604" width="9.28515625" style="69" customWidth="1"/>
    <col min="3605" max="3606" width="11.42578125" style="69" customWidth="1"/>
    <col min="3607" max="3608" width="10.42578125" style="69" customWidth="1"/>
    <col min="3609" max="3609" width="10.85546875" style="69" customWidth="1"/>
    <col min="3610" max="3610" width="12.7109375" style="69" customWidth="1"/>
    <col min="3611" max="3611" width="13.28515625" style="69" customWidth="1"/>
    <col min="3612" max="3612" width="13.85546875" style="69" customWidth="1"/>
    <col min="3613" max="3613" width="12.7109375" style="69" customWidth="1"/>
    <col min="3614" max="3614" width="11.85546875" style="69" customWidth="1"/>
    <col min="3615" max="3616" width="12.85546875" style="69" customWidth="1"/>
    <col min="3617" max="3617" width="11.28515625" style="69" customWidth="1"/>
    <col min="3618" max="3618" width="10.42578125" style="69" customWidth="1"/>
    <col min="3619" max="3619" width="11.42578125" style="69" customWidth="1"/>
    <col min="3620" max="3620" width="12.28515625" style="69" customWidth="1"/>
    <col min="3621" max="3621" width="9.85546875" style="69" customWidth="1"/>
    <col min="3622" max="3622" width="12.28515625" style="69" customWidth="1"/>
    <col min="3623" max="3623" width="13.42578125" style="69" customWidth="1"/>
    <col min="3624" max="3624" width="11" style="69" customWidth="1"/>
    <col min="3625" max="3626" width="12" style="69" customWidth="1"/>
    <col min="3627" max="3627" width="11.42578125" style="69"/>
    <col min="3628" max="3628" width="8.28515625" style="69" customWidth="1"/>
    <col min="3629" max="3629" width="13" style="69" customWidth="1"/>
    <col min="3630" max="3630" width="11.140625" style="69" bestFit="1" customWidth="1"/>
    <col min="3631" max="3632" width="9.85546875" style="69" bestFit="1" customWidth="1"/>
    <col min="3633" max="3846" width="11.42578125" style="69"/>
    <col min="3847" max="3847" width="26.140625" style="69" bestFit="1" customWidth="1"/>
    <col min="3848" max="3848" width="11.42578125" style="69"/>
    <col min="3849" max="3849" width="11.140625" style="69" customWidth="1"/>
    <col min="3850" max="3850" width="10.42578125" style="69" customWidth="1"/>
    <col min="3851" max="3851" width="11.140625" style="69" customWidth="1"/>
    <col min="3852" max="3852" width="12" style="69" customWidth="1"/>
    <col min="3853" max="3853" width="11.28515625" style="69" customWidth="1"/>
    <col min="3854" max="3854" width="12.42578125" style="69" customWidth="1"/>
    <col min="3855" max="3855" width="13.42578125" style="69" customWidth="1"/>
    <col min="3856" max="3856" width="13" style="69" customWidth="1"/>
    <col min="3857" max="3857" width="10.140625" style="69" customWidth="1"/>
    <col min="3858" max="3858" width="11.7109375" style="69" customWidth="1"/>
    <col min="3859" max="3859" width="11.42578125" style="69" customWidth="1"/>
    <col min="3860" max="3860" width="9.28515625" style="69" customWidth="1"/>
    <col min="3861" max="3862" width="11.42578125" style="69" customWidth="1"/>
    <col min="3863" max="3864" width="10.42578125" style="69" customWidth="1"/>
    <col min="3865" max="3865" width="10.85546875" style="69" customWidth="1"/>
    <col min="3866" max="3866" width="12.7109375" style="69" customWidth="1"/>
    <col min="3867" max="3867" width="13.28515625" style="69" customWidth="1"/>
    <col min="3868" max="3868" width="13.85546875" style="69" customWidth="1"/>
    <col min="3869" max="3869" width="12.7109375" style="69" customWidth="1"/>
    <col min="3870" max="3870" width="11.85546875" style="69" customWidth="1"/>
    <col min="3871" max="3872" width="12.85546875" style="69" customWidth="1"/>
    <col min="3873" max="3873" width="11.28515625" style="69" customWidth="1"/>
    <col min="3874" max="3874" width="10.42578125" style="69" customWidth="1"/>
    <col min="3875" max="3875" width="11.42578125" style="69" customWidth="1"/>
    <col min="3876" max="3876" width="12.28515625" style="69" customWidth="1"/>
    <col min="3877" max="3877" width="9.85546875" style="69" customWidth="1"/>
    <col min="3878" max="3878" width="12.28515625" style="69" customWidth="1"/>
    <col min="3879" max="3879" width="13.42578125" style="69" customWidth="1"/>
    <col min="3880" max="3880" width="11" style="69" customWidth="1"/>
    <col min="3881" max="3882" width="12" style="69" customWidth="1"/>
    <col min="3883" max="3883" width="11.42578125" style="69"/>
    <col min="3884" max="3884" width="8.28515625" style="69" customWidth="1"/>
    <col min="3885" max="3885" width="13" style="69" customWidth="1"/>
    <col min="3886" max="3886" width="11.140625" style="69" bestFit="1" customWidth="1"/>
    <col min="3887" max="3888" width="9.85546875" style="69" bestFit="1" customWidth="1"/>
    <col min="3889" max="4102" width="11.42578125" style="69"/>
    <col min="4103" max="4103" width="26.140625" style="69" bestFit="1" customWidth="1"/>
    <col min="4104" max="4104" width="11.42578125" style="69"/>
    <col min="4105" max="4105" width="11.140625" style="69" customWidth="1"/>
    <col min="4106" max="4106" width="10.42578125" style="69" customWidth="1"/>
    <col min="4107" max="4107" width="11.140625" style="69" customWidth="1"/>
    <col min="4108" max="4108" width="12" style="69" customWidth="1"/>
    <col min="4109" max="4109" width="11.28515625" style="69" customWidth="1"/>
    <col min="4110" max="4110" width="12.42578125" style="69" customWidth="1"/>
    <col min="4111" max="4111" width="13.42578125" style="69" customWidth="1"/>
    <col min="4112" max="4112" width="13" style="69" customWidth="1"/>
    <col min="4113" max="4113" width="10.140625" style="69" customWidth="1"/>
    <col min="4114" max="4114" width="11.7109375" style="69" customWidth="1"/>
    <col min="4115" max="4115" width="11.42578125" style="69" customWidth="1"/>
    <col min="4116" max="4116" width="9.28515625" style="69" customWidth="1"/>
    <col min="4117" max="4118" width="11.42578125" style="69" customWidth="1"/>
    <col min="4119" max="4120" width="10.42578125" style="69" customWidth="1"/>
    <col min="4121" max="4121" width="10.85546875" style="69" customWidth="1"/>
    <col min="4122" max="4122" width="12.7109375" style="69" customWidth="1"/>
    <col min="4123" max="4123" width="13.28515625" style="69" customWidth="1"/>
    <col min="4124" max="4124" width="13.85546875" style="69" customWidth="1"/>
    <col min="4125" max="4125" width="12.7109375" style="69" customWidth="1"/>
    <col min="4126" max="4126" width="11.85546875" style="69" customWidth="1"/>
    <col min="4127" max="4128" width="12.85546875" style="69" customWidth="1"/>
    <col min="4129" max="4129" width="11.28515625" style="69" customWidth="1"/>
    <col min="4130" max="4130" width="10.42578125" style="69" customWidth="1"/>
    <col min="4131" max="4131" width="11.42578125" style="69" customWidth="1"/>
    <col min="4132" max="4132" width="12.28515625" style="69" customWidth="1"/>
    <col min="4133" max="4133" width="9.85546875" style="69" customWidth="1"/>
    <col min="4134" max="4134" width="12.28515625" style="69" customWidth="1"/>
    <col min="4135" max="4135" width="13.42578125" style="69" customWidth="1"/>
    <col min="4136" max="4136" width="11" style="69" customWidth="1"/>
    <col min="4137" max="4138" width="12" style="69" customWidth="1"/>
    <col min="4139" max="4139" width="11.42578125" style="69"/>
    <col min="4140" max="4140" width="8.28515625" style="69" customWidth="1"/>
    <col min="4141" max="4141" width="13" style="69" customWidth="1"/>
    <col min="4142" max="4142" width="11.140625" style="69" bestFit="1" customWidth="1"/>
    <col min="4143" max="4144" width="9.85546875" style="69" bestFit="1" customWidth="1"/>
    <col min="4145" max="4358" width="11.42578125" style="69"/>
    <col min="4359" max="4359" width="26.140625" style="69" bestFit="1" customWidth="1"/>
    <col min="4360" max="4360" width="11.42578125" style="69"/>
    <col min="4361" max="4361" width="11.140625" style="69" customWidth="1"/>
    <col min="4362" max="4362" width="10.42578125" style="69" customWidth="1"/>
    <col min="4363" max="4363" width="11.140625" style="69" customWidth="1"/>
    <col min="4364" max="4364" width="12" style="69" customWidth="1"/>
    <col min="4365" max="4365" width="11.28515625" style="69" customWidth="1"/>
    <col min="4366" max="4366" width="12.42578125" style="69" customWidth="1"/>
    <col min="4367" max="4367" width="13.42578125" style="69" customWidth="1"/>
    <col min="4368" max="4368" width="13" style="69" customWidth="1"/>
    <col min="4369" max="4369" width="10.140625" style="69" customWidth="1"/>
    <col min="4370" max="4370" width="11.7109375" style="69" customWidth="1"/>
    <col min="4371" max="4371" width="11.42578125" style="69" customWidth="1"/>
    <col min="4372" max="4372" width="9.28515625" style="69" customWidth="1"/>
    <col min="4373" max="4374" width="11.42578125" style="69" customWidth="1"/>
    <col min="4375" max="4376" width="10.42578125" style="69" customWidth="1"/>
    <col min="4377" max="4377" width="10.85546875" style="69" customWidth="1"/>
    <col min="4378" max="4378" width="12.7109375" style="69" customWidth="1"/>
    <col min="4379" max="4379" width="13.28515625" style="69" customWidth="1"/>
    <col min="4380" max="4380" width="13.85546875" style="69" customWidth="1"/>
    <col min="4381" max="4381" width="12.7109375" style="69" customWidth="1"/>
    <col min="4382" max="4382" width="11.85546875" style="69" customWidth="1"/>
    <col min="4383" max="4384" width="12.85546875" style="69" customWidth="1"/>
    <col min="4385" max="4385" width="11.28515625" style="69" customWidth="1"/>
    <col min="4386" max="4386" width="10.42578125" style="69" customWidth="1"/>
    <col min="4387" max="4387" width="11.42578125" style="69" customWidth="1"/>
    <col min="4388" max="4388" width="12.28515625" style="69" customWidth="1"/>
    <col min="4389" max="4389" width="9.85546875" style="69" customWidth="1"/>
    <col min="4390" max="4390" width="12.28515625" style="69" customWidth="1"/>
    <col min="4391" max="4391" width="13.42578125" style="69" customWidth="1"/>
    <col min="4392" max="4392" width="11" style="69" customWidth="1"/>
    <col min="4393" max="4394" width="12" style="69" customWidth="1"/>
    <col min="4395" max="4395" width="11.42578125" style="69"/>
    <col min="4396" max="4396" width="8.28515625" style="69" customWidth="1"/>
    <col min="4397" max="4397" width="13" style="69" customWidth="1"/>
    <col min="4398" max="4398" width="11.140625" style="69" bestFit="1" customWidth="1"/>
    <col min="4399" max="4400" width="9.85546875" style="69" bestFit="1" customWidth="1"/>
    <col min="4401" max="4614" width="11.42578125" style="69"/>
    <col min="4615" max="4615" width="26.140625" style="69" bestFit="1" customWidth="1"/>
    <col min="4616" max="4616" width="11.42578125" style="69"/>
    <col min="4617" max="4617" width="11.140625" style="69" customWidth="1"/>
    <col min="4618" max="4618" width="10.42578125" style="69" customWidth="1"/>
    <col min="4619" max="4619" width="11.140625" style="69" customWidth="1"/>
    <col min="4620" max="4620" width="12" style="69" customWidth="1"/>
    <col min="4621" max="4621" width="11.28515625" style="69" customWidth="1"/>
    <col min="4622" max="4622" width="12.42578125" style="69" customWidth="1"/>
    <col min="4623" max="4623" width="13.42578125" style="69" customWidth="1"/>
    <col min="4624" max="4624" width="13" style="69" customWidth="1"/>
    <col min="4625" max="4625" width="10.140625" style="69" customWidth="1"/>
    <col min="4626" max="4626" width="11.7109375" style="69" customWidth="1"/>
    <col min="4627" max="4627" width="11.42578125" style="69" customWidth="1"/>
    <col min="4628" max="4628" width="9.28515625" style="69" customWidth="1"/>
    <col min="4629" max="4630" width="11.42578125" style="69" customWidth="1"/>
    <col min="4631" max="4632" width="10.42578125" style="69" customWidth="1"/>
    <col min="4633" max="4633" width="10.85546875" style="69" customWidth="1"/>
    <col min="4634" max="4634" width="12.7109375" style="69" customWidth="1"/>
    <col min="4635" max="4635" width="13.28515625" style="69" customWidth="1"/>
    <col min="4636" max="4636" width="13.85546875" style="69" customWidth="1"/>
    <col min="4637" max="4637" width="12.7109375" style="69" customWidth="1"/>
    <col min="4638" max="4638" width="11.85546875" style="69" customWidth="1"/>
    <col min="4639" max="4640" width="12.85546875" style="69" customWidth="1"/>
    <col min="4641" max="4641" width="11.28515625" style="69" customWidth="1"/>
    <col min="4642" max="4642" width="10.42578125" style="69" customWidth="1"/>
    <col min="4643" max="4643" width="11.42578125" style="69" customWidth="1"/>
    <col min="4644" max="4644" width="12.28515625" style="69" customWidth="1"/>
    <col min="4645" max="4645" width="9.85546875" style="69" customWidth="1"/>
    <col min="4646" max="4646" width="12.28515625" style="69" customWidth="1"/>
    <col min="4647" max="4647" width="13.42578125" style="69" customWidth="1"/>
    <col min="4648" max="4648" width="11" style="69" customWidth="1"/>
    <col min="4649" max="4650" width="12" style="69" customWidth="1"/>
    <col min="4651" max="4651" width="11.42578125" style="69"/>
    <col min="4652" max="4652" width="8.28515625" style="69" customWidth="1"/>
    <col min="4653" max="4653" width="13" style="69" customWidth="1"/>
    <col min="4654" max="4654" width="11.140625" style="69" bestFit="1" customWidth="1"/>
    <col min="4655" max="4656" width="9.85546875" style="69" bestFit="1" customWidth="1"/>
    <col min="4657" max="4870" width="11.42578125" style="69"/>
    <col min="4871" max="4871" width="26.140625" style="69" bestFit="1" customWidth="1"/>
    <col min="4872" max="4872" width="11.42578125" style="69"/>
    <col min="4873" max="4873" width="11.140625" style="69" customWidth="1"/>
    <col min="4874" max="4874" width="10.42578125" style="69" customWidth="1"/>
    <col min="4875" max="4875" width="11.140625" style="69" customWidth="1"/>
    <col min="4876" max="4876" width="12" style="69" customWidth="1"/>
    <col min="4877" max="4877" width="11.28515625" style="69" customWidth="1"/>
    <col min="4878" max="4878" width="12.42578125" style="69" customWidth="1"/>
    <col min="4879" max="4879" width="13.42578125" style="69" customWidth="1"/>
    <col min="4880" max="4880" width="13" style="69" customWidth="1"/>
    <col min="4881" max="4881" width="10.140625" style="69" customWidth="1"/>
    <col min="4882" max="4882" width="11.7109375" style="69" customWidth="1"/>
    <col min="4883" max="4883" width="11.42578125" style="69" customWidth="1"/>
    <col min="4884" max="4884" width="9.28515625" style="69" customWidth="1"/>
    <col min="4885" max="4886" width="11.42578125" style="69" customWidth="1"/>
    <col min="4887" max="4888" width="10.42578125" style="69" customWidth="1"/>
    <col min="4889" max="4889" width="10.85546875" style="69" customWidth="1"/>
    <col min="4890" max="4890" width="12.7109375" style="69" customWidth="1"/>
    <col min="4891" max="4891" width="13.28515625" style="69" customWidth="1"/>
    <col min="4892" max="4892" width="13.85546875" style="69" customWidth="1"/>
    <col min="4893" max="4893" width="12.7109375" style="69" customWidth="1"/>
    <col min="4894" max="4894" width="11.85546875" style="69" customWidth="1"/>
    <col min="4895" max="4896" width="12.85546875" style="69" customWidth="1"/>
    <col min="4897" max="4897" width="11.28515625" style="69" customWidth="1"/>
    <col min="4898" max="4898" width="10.42578125" style="69" customWidth="1"/>
    <col min="4899" max="4899" width="11.42578125" style="69" customWidth="1"/>
    <col min="4900" max="4900" width="12.28515625" style="69" customWidth="1"/>
    <col min="4901" max="4901" width="9.85546875" style="69" customWidth="1"/>
    <col min="4902" max="4902" width="12.28515625" style="69" customWidth="1"/>
    <col min="4903" max="4903" width="13.42578125" style="69" customWidth="1"/>
    <col min="4904" max="4904" width="11" style="69" customWidth="1"/>
    <col min="4905" max="4906" width="12" style="69" customWidth="1"/>
    <col min="4907" max="4907" width="11.42578125" style="69"/>
    <col min="4908" max="4908" width="8.28515625" style="69" customWidth="1"/>
    <col min="4909" max="4909" width="13" style="69" customWidth="1"/>
    <col min="4910" max="4910" width="11.140625" style="69" bestFit="1" customWidth="1"/>
    <col min="4911" max="4912" width="9.85546875" style="69" bestFit="1" customWidth="1"/>
    <col min="4913" max="5126" width="11.42578125" style="69"/>
    <col min="5127" max="5127" width="26.140625" style="69" bestFit="1" customWidth="1"/>
    <col min="5128" max="5128" width="11.42578125" style="69"/>
    <col min="5129" max="5129" width="11.140625" style="69" customWidth="1"/>
    <col min="5130" max="5130" width="10.42578125" style="69" customWidth="1"/>
    <col min="5131" max="5131" width="11.140625" style="69" customWidth="1"/>
    <col min="5132" max="5132" width="12" style="69" customWidth="1"/>
    <col min="5133" max="5133" width="11.28515625" style="69" customWidth="1"/>
    <col min="5134" max="5134" width="12.42578125" style="69" customWidth="1"/>
    <col min="5135" max="5135" width="13.42578125" style="69" customWidth="1"/>
    <col min="5136" max="5136" width="13" style="69" customWidth="1"/>
    <col min="5137" max="5137" width="10.140625" style="69" customWidth="1"/>
    <col min="5138" max="5138" width="11.7109375" style="69" customWidth="1"/>
    <col min="5139" max="5139" width="11.42578125" style="69" customWidth="1"/>
    <col min="5140" max="5140" width="9.28515625" style="69" customWidth="1"/>
    <col min="5141" max="5142" width="11.42578125" style="69" customWidth="1"/>
    <col min="5143" max="5144" width="10.42578125" style="69" customWidth="1"/>
    <col min="5145" max="5145" width="10.85546875" style="69" customWidth="1"/>
    <col min="5146" max="5146" width="12.7109375" style="69" customWidth="1"/>
    <col min="5147" max="5147" width="13.28515625" style="69" customWidth="1"/>
    <col min="5148" max="5148" width="13.85546875" style="69" customWidth="1"/>
    <col min="5149" max="5149" width="12.7109375" style="69" customWidth="1"/>
    <col min="5150" max="5150" width="11.85546875" style="69" customWidth="1"/>
    <col min="5151" max="5152" width="12.85546875" style="69" customWidth="1"/>
    <col min="5153" max="5153" width="11.28515625" style="69" customWidth="1"/>
    <col min="5154" max="5154" width="10.42578125" style="69" customWidth="1"/>
    <col min="5155" max="5155" width="11.42578125" style="69" customWidth="1"/>
    <col min="5156" max="5156" width="12.28515625" style="69" customWidth="1"/>
    <col min="5157" max="5157" width="9.85546875" style="69" customWidth="1"/>
    <col min="5158" max="5158" width="12.28515625" style="69" customWidth="1"/>
    <col min="5159" max="5159" width="13.42578125" style="69" customWidth="1"/>
    <col min="5160" max="5160" width="11" style="69" customWidth="1"/>
    <col min="5161" max="5162" width="12" style="69" customWidth="1"/>
    <col min="5163" max="5163" width="11.42578125" style="69"/>
    <col min="5164" max="5164" width="8.28515625" style="69" customWidth="1"/>
    <col min="5165" max="5165" width="13" style="69" customWidth="1"/>
    <col min="5166" max="5166" width="11.140625" style="69" bestFit="1" customWidth="1"/>
    <col min="5167" max="5168" width="9.85546875" style="69" bestFit="1" customWidth="1"/>
    <col min="5169" max="5382" width="11.42578125" style="69"/>
    <col min="5383" max="5383" width="26.140625" style="69" bestFit="1" customWidth="1"/>
    <col min="5384" max="5384" width="11.42578125" style="69"/>
    <col min="5385" max="5385" width="11.140625" style="69" customWidth="1"/>
    <col min="5386" max="5386" width="10.42578125" style="69" customWidth="1"/>
    <col min="5387" max="5387" width="11.140625" style="69" customWidth="1"/>
    <col min="5388" max="5388" width="12" style="69" customWidth="1"/>
    <col min="5389" max="5389" width="11.28515625" style="69" customWidth="1"/>
    <col min="5390" max="5390" width="12.42578125" style="69" customWidth="1"/>
    <col min="5391" max="5391" width="13.42578125" style="69" customWidth="1"/>
    <col min="5392" max="5392" width="13" style="69" customWidth="1"/>
    <col min="5393" max="5393" width="10.140625" style="69" customWidth="1"/>
    <col min="5394" max="5394" width="11.7109375" style="69" customWidth="1"/>
    <col min="5395" max="5395" width="11.42578125" style="69" customWidth="1"/>
    <col min="5396" max="5396" width="9.28515625" style="69" customWidth="1"/>
    <col min="5397" max="5398" width="11.42578125" style="69" customWidth="1"/>
    <col min="5399" max="5400" width="10.42578125" style="69" customWidth="1"/>
    <col min="5401" max="5401" width="10.85546875" style="69" customWidth="1"/>
    <col min="5402" max="5402" width="12.7109375" style="69" customWidth="1"/>
    <col min="5403" max="5403" width="13.28515625" style="69" customWidth="1"/>
    <col min="5404" max="5404" width="13.85546875" style="69" customWidth="1"/>
    <col min="5405" max="5405" width="12.7109375" style="69" customWidth="1"/>
    <col min="5406" max="5406" width="11.85546875" style="69" customWidth="1"/>
    <col min="5407" max="5408" width="12.85546875" style="69" customWidth="1"/>
    <col min="5409" max="5409" width="11.28515625" style="69" customWidth="1"/>
    <col min="5410" max="5410" width="10.42578125" style="69" customWidth="1"/>
    <col min="5411" max="5411" width="11.42578125" style="69" customWidth="1"/>
    <col min="5412" max="5412" width="12.28515625" style="69" customWidth="1"/>
    <col min="5413" max="5413" width="9.85546875" style="69" customWidth="1"/>
    <col min="5414" max="5414" width="12.28515625" style="69" customWidth="1"/>
    <col min="5415" max="5415" width="13.42578125" style="69" customWidth="1"/>
    <col min="5416" max="5416" width="11" style="69" customWidth="1"/>
    <col min="5417" max="5418" width="12" style="69" customWidth="1"/>
    <col min="5419" max="5419" width="11.42578125" style="69"/>
    <col min="5420" max="5420" width="8.28515625" style="69" customWidth="1"/>
    <col min="5421" max="5421" width="13" style="69" customWidth="1"/>
    <col min="5422" max="5422" width="11.140625" style="69" bestFit="1" customWidth="1"/>
    <col min="5423" max="5424" width="9.85546875" style="69" bestFit="1" customWidth="1"/>
    <col min="5425" max="5638" width="11.42578125" style="69"/>
    <col min="5639" max="5639" width="26.140625" style="69" bestFit="1" customWidth="1"/>
    <col min="5640" max="5640" width="11.42578125" style="69"/>
    <col min="5641" max="5641" width="11.140625" style="69" customWidth="1"/>
    <col min="5642" max="5642" width="10.42578125" style="69" customWidth="1"/>
    <col min="5643" max="5643" width="11.140625" style="69" customWidth="1"/>
    <col min="5644" max="5644" width="12" style="69" customWidth="1"/>
    <col min="5645" max="5645" width="11.28515625" style="69" customWidth="1"/>
    <col min="5646" max="5646" width="12.42578125" style="69" customWidth="1"/>
    <col min="5647" max="5647" width="13.42578125" style="69" customWidth="1"/>
    <col min="5648" max="5648" width="13" style="69" customWidth="1"/>
    <col min="5649" max="5649" width="10.140625" style="69" customWidth="1"/>
    <col min="5650" max="5650" width="11.7109375" style="69" customWidth="1"/>
    <col min="5651" max="5651" width="11.42578125" style="69" customWidth="1"/>
    <col min="5652" max="5652" width="9.28515625" style="69" customWidth="1"/>
    <col min="5653" max="5654" width="11.42578125" style="69" customWidth="1"/>
    <col min="5655" max="5656" width="10.42578125" style="69" customWidth="1"/>
    <col min="5657" max="5657" width="10.85546875" style="69" customWidth="1"/>
    <col min="5658" max="5658" width="12.7109375" style="69" customWidth="1"/>
    <col min="5659" max="5659" width="13.28515625" style="69" customWidth="1"/>
    <col min="5660" max="5660" width="13.85546875" style="69" customWidth="1"/>
    <col min="5661" max="5661" width="12.7109375" style="69" customWidth="1"/>
    <col min="5662" max="5662" width="11.85546875" style="69" customWidth="1"/>
    <col min="5663" max="5664" width="12.85546875" style="69" customWidth="1"/>
    <col min="5665" max="5665" width="11.28515625" style="69" customWidth="1"/>
    <col min="5666" max="5666" width="10.42578125" style="69" customWidth="1"/>
    <col min="5667" max="5667" width="11.42578125" style="69" customWidth="1"/>
    <col min="5668" max="5668" width="12.28515625" style="69" customWidth="1"/>
    <col min="5669" max="5669" width="9.85546875" style="69" customWidth="1"/>
    <col min="5670" max="5670" width="12.28515625" style="69" customWidth="1"/>
    <col min="5671" max="5671" width="13.42578125" style="69" customWidth="1"/>
    <col min="5672" max="5672" width="11" style="69" customWidth="1"/>
    <col min="5673" max="5674" width="12" style="69" customWidth="1"/>
    <col min="5675" max="5675" width="11.42578125" style="69"/>
    <col min="5676" max="5676" width="8.28515625" style="69" customWidth="1"/>
    <col min="5677" max="5677" width="13" style="69" customWidth="1"/>
    <col min="5678" max="5678" width="11.140625" style="69" bestFit="1" customWidth="1"/>
    <col min="5679" max="5680" width="9.85546875" style="69" bestFit="1" customWidth="1"/>
    <col min="5681" max="5894" width="11.42578125" style="69"/>
    <col min="5895" max="5895" width="26.140625" style="69" bestFit="1" customWidth="1"/>
    <col min="5896" max="5896" width="11.42578125" style="69"/>
    <col min="5897" max="5897" width="11.140625" style="69" customWidth="1"/>
    <col min="5898" max="5898" width="10.42578125" style="69" customWidth="1"/>
    <col min="5899" max="5899" width="11.140625" style="69" customWidth="1"/>
    <col min="5900" max="5900" width="12" style="69" customWidth="1"/>
    <col min="5901" max="5901" width="11.28515625" style="69" customWidth="1"/>
    <col min="5902" max="5902" width="12.42578125" style="69" customWidth="1"/>
    <col min="5903" max="5903" width="13.42578125" style="69" customWidth="1"/>
    <col min="5904" max="5904" width="13" style="69" customWidth="1"/>
    <col min="5905" max="5905" width="10.140625" style="69" customWidth="1"/>
    <col min="5906" max="5906" width="11.7109375" style="69" customWidth="1"/>
    <col min="5907" max="5907" width="11.42578125" style="69" customWidth="1"/>
    <col min="5908" max="5908" width="9.28515625" style="69" customWidth="1"/>
    <col min="5909" max="5910" width="11.42578125" style="69" customWidth="1"/>
    <col min="5911" max="5912" width="10.42578125" style="69" customWidth="1"/>
    <col min="5913" max="5913" width="10.85546875" style="69" customWidth="1"/>
    <col min="5914" max="5914" width="12.7109375" style="69" customWidth="1"/>
    <col min="5915" max="5915" width="13.28515625" style="69" customWidth="1"/>
    <col min="5916" max="5916" width="13.85546875" style="69" customWidth="1"/>
    <col min="5917" max="5917" width="12.7109375" style="69" customWidth="1"/>
    <col min="5918" max="5918" width="11.85546875" style="69" customWidth="1"/>
    <col min="5919" max="5920" width="12.85546875" style="69" customWidth="1"/>
    <col min="5921" max="5921" width="11.28515625" style="69" customWidth="1"/>
    <col min="5922" max="5922" width="10.42578125" style="69" customWidth="1"/>
    <col min="5923" max="5923" width="11.42578125" style="69" customWidth="1"/>
    <col min="5924" max="5924" width="12.28515625" style="69" customWidth="1"/>
    <col min="5925" max="5925" width="9.85546875" style="69" customWidth="1"/>
    <col min="5926" max="5926" width="12.28515625" style="69" customWidth="1"/>
    <col min="5927" max="5927" width="13.42578125" style="69" customWidth="1"/>
    <col min="5928" max="5928" width="11" style="69" customWidth="1"/>
    <col min="5929" max="5930" width="12" style="69" customWidth="1"/>
    <col min="5931" max="5931" width="11.42578125" style="69"/>
    <col min="5932" max="5932" width="8.28515625" style="69" customWidth="1"/>
    <col min="5933" max="5933" width="13" style="69" customWidth="1"/>
    <col min="5934" max="5934" width="11.140625" style="69" bestFit="1" customWidth="1"/>
    <col min="5935" max="5936" width="9.85546875" style="69" bestFit="1" customWidth="1"/>
    <col min="5937" max="6150" width="11.42578125" style="69"/>
    <col min="6151" max="6151" width="26.140625" style="69" bestFit="1" customWidth="1"/>
    <col min="6152" max="6152" width="11.42578125" style="69"/>
    <col min="6153" max="6153" width="11.140625" style="69" customWidth="1"/>
    <col min="6154" max="6154" width="10.42578125" style="69" customWidth="1"/>
    <col min="6155" max="6155" width="11.140625" style="69" customWidth="1"/>
    <col min="6156" max="6156" width="12" style="69" customWidth="1"/>
    <col min="6157" max="6157" width="11.28515625" style="69" customWidth="1"/>
    <col min="6158" max="6158" width="12.42578125" style="69" customWidth="1"/>
    <col min="6159" max="6159" width="13.42578125" style="69" customWidth="1"/>
    <col min="6160" max="6160" width="13" style="69" customWidth="1"/>
    <col min="6161" max="6161" width="10.140625" style="69" customWidth="1"/>
    <col min="6162" max="6162" width="11.7109375" style="69" customWidth="1"/>
    <col min="6163" max="6163" width="11.42578125" style="69" customWidth="1"/>
    <col min="6164" max="6164" width="9.28515625" style="69" customWidth="1"/>
    <col min="6165" max="6166" width="11.42578125" style="69" customWidth="1"/>
    <col min="6167" max="6168" width="10.42578125" style="69" customWidth="1"/>
    <col min="6169" max="6169" width="10.85546875" style="69" customWidth="1"/>
    <col min="6170" max="6170" width="12.7109375" style="69" customWidth="1"/>
    <col min="6171" max="6171" width="13.28515625" style="69" customWidth="1"/>
    <col min="6172" max="6172" width="13.85546875" style="69" customWidth="1"/>
    <col min="6173" max="6173" width="12.7109375" style="69" customWidth="1"/>
    <col min="6174" max="6174" width="11.85546875" style="69" customWidth="1"/>
    <col min="6175" max="6176" width="12.85546875" style="69" customWidth="1"/>
    <col min="6177" max="6177" width="11.28515625" style="69" customWidth="1"/>
    <col min="6178" max="6178" width="10.42578125" style="69" customWidth="1"/>
    <col min="6179" max="6179" width="11.42578125" style="69" customWidth="1"/>
    <col min="6180" max="6180" width="12.28515625" style="69" customWidth="1"/>
    <col min="6181" max="6181" width="9.85546875" style="69" customWidth="1"/>
    <col min="6182" max="6182" width="12.28515625" style="69" customWidth="1"/>
    <col min="6183" max="6183" width="13.42578125" style="69" customWidth="1"/>
    <col min="6184" max="6184" width="11" style="69" customWidth="1"/>
    <col min="6185" max="6186" width="12" style="69" customWidth="1"/>
    <col min="6187" max="6187" width="11.42578125" style="69"/>
    <col min="6188" max="6188" width="8.28515625" style="69" customWidth="1"/>
    <col min="6189" max="6189" width="13" style="69" customWidth="1"/>
    <col min="6190" max="6190" width="11.140625" style="69" bestFit="1" customWidth="1"/>
    <col min="6191" max="6192" width="9.85546875" style="69" bestFit="1" customWidth="1"/>
    <col min="6193" max="6406" width="11.42578125" style="69"/>
    <col min="6407" max="6407" width="26.140625" style="69" bestFit="1" customWidth="1"/>
    <col min="6408" max="6408" width="11.42578125" style="69"/>
    <col min="6409" max="6409" width="11.140625" style="69" customWidth="1"/>
    <col min="6410" max="6410" width="10.42578125" style="69" customWidth="1"/>
    <col min="6411" max="6411" width="11.140625" style="69" customWidth="1"/>
    <col min="6412" max="6412" width="12" style="69" customWidth="1"/>
    <col min="6413" max="6413" width="11.28515625" style="69" customWidth="1"/>
    <col min="6414" max="6414" width="12.42578125" style="69" customWidth="1"/>
    <col min="6415" max="6415" width="13.42578125" style="69" customWidth="1"/>
    <col min="6416" max="6416" width="13" style="69" customWidth="1"/>
    <col min="6417" max="6417" width="10.140625" style="69" customWidth="1"/>
    <col min="6418" max="6418" width="11.7109375" style="69" customWidth="1"/>
    <col min="6419" max="6419" width="11.42578125" style="69" customWidth="1"/>
    <col min="6420" max="6420" width="9.28515625" style="69" customWidth="1"/>
    <col min="6421" max="6422" width="11.42578125" style="69" customWidth="1"/>
    <col min="6423" max="6424" width="10.42578125" style="69" customWidth="1"/>
    <col min="6425" max="6425" width="10.85546875" style="69" customWidth="1"/>
    <col min="6426" max="6426" width="12.7109375" style="69" customWidth="1"/>
    <col min="6427" max="6427" width="13.28515625" style="69" customWidth="1"/>
    <col min="6428" max="6428" width="13.85546875" style="69" customWidth="1"/>
    <col min="6429" max="6429" width="12.7109375" style="69" customWidth="1"/>
    <col min="6430" max="6430" width="11.85546875" style="69" customWidth="1"/>
    <col min="6431" max="6432" width="12.85546875" style="69" customWidth="1"/>
    <col min="6433" max="6433" width="11.28515625" style="69" customWidth="1"/>
    <col min="6434" max="6434" width="10.42578125" style="69" customWidth="1"/>
    <col min="6435" max="6435" width="11.42578125" style="69" customWidth="1"/>
    <col min="6436" max="6436" width="12.28515625" style="69" customWidth="1"/>
    <col min="6437" max="6437" width="9.85546875" style="69" customWidth="1"/>
    <col min="6438" max="6438" width="12.28515625" style="69" customWidth="1"/>
    <col min="6439" max="6439" width="13.42578125" style="69" customWidth="1"/>
    <col min="6440" max="6440" width="11" style="69" customWidth="1"/>
    <col min="6441" max="6442" width="12" style="69" customWidth="1"/>
    <col min="6443" max="6443" width="11.42578125" style="69"/>
    <col min="6444" max="6444" width="8.28515625" style="69" customWidth="1"/>
    <col min="6445" max="6445" width="13" style="69" customWidth="1"/>
    <col min="6446" max="6446" width="11.140625" style="69" bestFit="1" customWidth="1"/>
    <col min="6447" max="6448" width="9.85546875" style="69" bestFit="1" customWidth="1"/>
    <col min="6449" max="6662" width="11.42578125" style="69"/>
    <col min="6663" max="6663" width="26.140625" style="69" bestFit="1" customWidth="1"/>
    <col min="6664" max="6664" width="11.42578125" style="69"/>
    <col min="6665" max="6665" width="11.140625" style="69" customWidth="1"/>
    <col min="6666" max="6666" width="10.42578125" style="69" customWidth="1"/>
    <col min="6667" max="6667" width="11.140625" style="69" customWidth="1"/>
    <col min="6668" max="6668" width="12" style="69" customWidth="1"/>
    <col min="6669" max="6669" width="11.28515625" style="69" customWidth="1"/>
    <col min="6670" max="6670" width="12.42578125" style="69" customWidth="1"/>
    <col min="6671" max="6671" width="13.42578125" style="69" customWidth="1"/>
    <col min="6672" max="6672" width="13" style="69" customWidth="1"/>
    <col min="6673" max="6673" width="10.140625" style="69" customWidth="1"/>
    <col min="6674" max="6674" width="11.7109375" style="69" customWidth="1"/>
    <col min="6675" max="6675" width="11.42578125" style="69" customWidth="1"/>
    <col min="6676" max="6676" width="9.28515625" style="69" customWidth="1"/>
    <col min="6677" max="6678" width="11.42578125" style="69" customWidth="1"/>
    <col min="6679" max="6680" width="10.42578125" style="69" customWidth="1"/>
    <col min="6681" max="6681" width="10.85546875" style="69" customWidth="1"/>
    <col min="6682" max="6682" width="12.7109375" style="69" customWidth="1"/>
    <col min="6683" max="6683" width="13.28515625" style="69" customWidth="1"/>
    <col min="6684" max="6684" width="13.85546875" style="69" customWidth="1"/>
    <col min="6685" max="6685" width="12.7109375" style="69" customWidth="1"/>
    <col min="6686" max="6686" width="11.85546875" style="69" customWidth="1"/>
    <col min="6687" max="6688" width="12.85546875" style="69" customWidth="1"/>
    <col min="6689" max="6689" width="11.28515625" style="69" customWidth="1"/>
    <col min="6690" max="6690" width="10.42578125" style="69" customWidth="1"/>
    <col min="6691" max="6691" width="11.42578125" style="69" customWidth="1"/>
    <col min="6692" max="6692" width="12.28515625" style="69" customWidth="1"/>
    <col min="6693" max="6693" width="9.85546875" style="69" customWidth="1"/>
    <col min="6694" max="6694" width="12.28515625" style="69" customWidth="1"/>
    <col min="6695" max="6695" width="13.42578125" style="69" customWidth="1"/>
    <col min="6696" max="6696" width="11" style="69" customWidth="1"/>
    <col min="6697" max="6698" width="12" style="69" customWidth="1"/>
    <col min="6699" max="6699" width="11.42578125" style="69"/>
    <col min="6700" max="6700" width="8.28515625" style="69" customWidth="1"/>
    <col min="6701" max="6701" width="13" style="69" customWidth="1"/>
    <col min="6702" max="6702" width="11.140625" style="69" bestFit="1" customWidth="1"/>
    <col min="6703" max="6704" width="9.85546875" style="69" bestFit="1" customWidth="1"/>
    <col min="6705" max="6918" width="11.42578125" style="69"/>
    <col min="6919" max="6919" width="26.140625" style="69" bestFit="1" customWidth="1"/>
    <col min="6920" max="6920" width="11.42578125" style="69"/>
    <col min="6921" max="6921" width="11.140625" style="69" customWidth="1"/>
    <col min="6922" max="6922" width="10.42578125" style="69" customWidth="1"/>
    <col min="6923" max="6923" width="11.140625" style="69" customWidth="1"/>
    <col min="6924" max="6924" width="12" style="69" customWidth="1"/>
    <col min="6925" max="6925" width="11.28515625" style="69" customWidth="1"/>
    <col min="6926" max="6926" width="12.42578125" style="69" customWidth="1"/>
    <col min="6927" max="6927" width="13.42578125" style="69" customWidth="1"/>
    <col min="6928" max="6928" width="13" style="69" customWidth="1"/>
    <col min="6929" max="6929" width="10.140625" style="69" customWidth="1"/>
    <col min="6930" max="6930" width="11.7109375" style="69" customWidth="1"/>
    <col min="6931" max="6931" width="11.42578125" style="69" customWidth="1"/>
    <col min="6932" max="6932" width="9.28515625" style="69" customWidth="1"/>
    <col min="6933" max="6934" width="11.42578125" style="69" customWidth="1"/>
    <col min="6935" max="6936" width="10.42578125" style="69" customWidth="1"/>
    <col min="6937" max="6937" width="10.85546875" style="69" customWidth="1"/>
    <col min="6938" max="6938" width="12.7109375" style="69" customWidth="1"/>
    <col min="6939" max="6939" width="13.28515625" style="69" customWidth="1"/>
    <col min="6940" max="6940" width="13.85546875" style="69" customWidth="1"/>
    <col min="6941" max="6941" width="12.7109375" style="69" customWidth="1"/>
    <col min="6942" max="6942" width="11.85546875" style="69" customWidth="1"/>
    <col min="6943" max="6944" width="12.85546875" style="69" customWidth="1"/>
    <col min="6945" max="6945" width="11.28515625" style="69" customWidth="1"/>
    <col min="6946" max="6946" width="10.42578125" style="69" customWidth="1"/>
    <col min="6947" max="6947" width="11.42578125" style="69" customWidth="1"/>
    <col min="6948" max="6948" width="12.28515625" style="69" customWidth="1"/>
    <col min="6949" max="6949" width="9.85546875" style="69" customWidth="1"/>
    <col min="6950" max="6950" width="12.28515625" style="69" customWidth="1"/>
    <col min="6951" max="6951" width="13.42578125" style="69" customWidth="1"/>
    <col min="6952" max="6952" width="11" style="69" customWidth="1"/>
    <col min="6953" max="6954" width="12" style="69" customWidth="1"/>
    <col min="6955" max="6955" width="11.42578125" style="69"/>
    <col min="6956" max="6956" width="8.28515625" style="69" customWidth="1"/>
    <col min="6957" max="6957" width="13" style="69" customWidth="1"/>
    <col min="6958" max="6958" width="11.140625" style="69" bestFit="1" customWidth="1"/>
    <col min="6959" max="6960" width="9.85546875" style="69" bestFit="1" customWidth="1"/>
    <col min="6961" max="7174" width="11.42578125" style="69"/>
    <col min="7175" max="7175" width="26.140625" style="69" bestFit="1" customWidth="1"/>
    <col min="7176" max="7176" width="11.42578125" style="69"/>
    <col min="7177" max="7177" width="11.140625" style="69" customWidth="1"/>
    <col min="7178" max="7178" width="10.42578125" style="69" customWidth="1"/>
    <col min="7179" max="7179" width="11.140625" style="69" customWidth="1"/>
    <col min="7180" max="7180" width="12" style="69" customWidth="1"/>
    <col min="7181" max="7181" width="11.28515625" style="69" customWidth="1"/>
    <col min="7182" max="7182" width="12.42578125" style="69" customWidth="1"/>
    <col min="7183" max="7183" width="13.42578125" style="69" customWidth="1"/>
    <col min="7184" max="7184" width="13" style="69" customWidth="1"/>
    <col min="7185" max="7185" width="10.140625" style="69" customWidth="1"/>
    <col min="7186" max="7186" width="11.7109375" style="69" customWidth="1"/>
    <col min="7187" max="7187" width="11.42578125" style="69" customWidth="1"/>
    <col min="7188" max="7188" width="9.28515625" style="69" customWidth="1"/>
    <col min="7189" max="7190" width="11.42578125" style="69" customWidth="1"/>
    <col min="7191" max="7192" width="10.42578125" style="69" customWidth="1"/>
    <col min="7193" max="7193" width="10.85546875" style="69" customWidth="1"/>
    <col min="7194" max="7194" width="12.7109375" style="69" customWidth="1"/>
    <col min="7195" max="7195" width="13.28515625" style="69" customWidth="1"/>
    <col min="7196" max="7196" width="13.85546875" style="69" customWidth="1"/>
    <col min="7197" max="7197" width="12.7109375" style="69" customWidth="1"/>
    <col min="7198" max="7198" width="11.85546875" style="69" customWidth="1"/>
    <col min="7199" max="7200" width="12.85546875" style="69" customWidth="1"/>
    <col min="7201" max="7201" width="11.28515625" style="69" customWidth="1"/>
    <col min="7202" max="7202" width="10.42578125" style="69" customWidth="1"/>
    <col min="7203" max="7203" width="11.42578125" style="69" customWidth="1"/>
    <col min="7204" max="7204" width="12.28515625" style="69" customWidth="1"/>
    <col min="7205" max="7205" width="9.85546875" style="69" customWidth="1"/>
    <col min="7206" max="7206" width="12.28515625" style="69" customWidth="1"/>
    <col min="7207" max="7207" width="13.42578125" style="69" customWidth="1"/>
    <col min="7208" max="7208" width="11" style="69" customWidth="1"/>
    <col min="7209" max="7210" width="12" style="69" customWidth="1"/>
    <col min="7211" max="7211" width="11.42578125" style="69"/>
    <col min="7212" max="7212" width="8.28515625" style="69" customWidth="1"/>
    <col min="7213" max="7213" width="13" style="69" customWidth="1"/>
    <col min="7214" max="7214" width="11.140625" style="69" bestFit="1" customWidth="1"/>
    <col min="7215" max="7216" width="9.85546875" style="69" bestFit="1" customWidth="1"/>
    <col min="7217" max="7430" width="11.42578125" style="69"/>
    <col min="7431" max="7431" width="26.140625" style="69" bestFit="1" customWidth="1"/>
    <col min="7432" max="7432" width="11.42578125" style="69"/>
    <col min="7433" max="7433" width="11.140625" style="69" customWidth="1"/>
    <col min="7434" max="7434" width="10.42578125" style="69" customWidth="1"/>
    <col min="7435" max="7435" width="11.140625" style="69" customWidth="1"/>
    <col min="7436" max="7436" width="12" style="69" customWidth="1"/>
    <col min="7437" max="7437" width="11.28515625" style="69" customWidth="1"/>
    <col min="7438" max="7438" width="12.42578125" style="69" customWidth="1"/>
    <col min="7439" max="7439" width="13.42578125" style="69" customWidth="1"/>
    <col min="7440" max="7440" width="13" style="69" customWidth="1"/>
    <col min="7441" max="7441" width="10.140625" style="69" customWidth="1"/>
    <col min="7442" max="7442" width="11.7109375" style="69" customWidth="1"/>
    <col min="7443" max="7443" width="11.42578125" style="69" customWidth="1"/>
    <col min="7444" max="7444" width="9.28515625" style="69" customWidth="1"/>
    <col min="7445" max="7446" width="11.42578125" style="69" customWidth="1"/>
    <col min="7447" max="7448" width="10.42578125" style="69" customWidth="1"/>
    <col min="7449" max="7449" width="10.85546875" style="69" customWidth="1"/>
    <col min="7450" max="7450" width="12.7109375" style="69" customWidth="1"/>
    <col min="7451" max="7451" width="13.28515625" style="69" customWidth="1"/>
    <col min="7452" max="7452" width="13.85546875" style="69" customWidth="1"/>
    <col min="7453" max="7453" width="12.7109375" style="69" customWidth="1"/>
    <col min="7454" max="7454" width="11.85546875" style="69" customWidth="1"/>
    <col min="7455" max="7456" width="12.85546875" style="69" customWidth="1"/>
    <col min="7457" max="7457" width="11.28515625" style="69" customWidth="1"/>
    <col min="7458" max="7458" width="10.42578125" style="69" customWidth="1"/>
    <col min="7459" max="7459" width="11.42578125" style="69" customWidth="1"/>
    <col min="7460" max="7460" width="12.28515625" style="69" customWidth="1"/>
    <col min="7461" max="7461" width="9.85546875" style="69" customWidth="1"/>
    <col min="7462" max="7462" width="12.28515625" style="69" customWidth="1"/>
    <col min="7463" max="7463" width="13.42578125" style="69" customWidth="1"/>
    <col min="7464" max="7464" width="11" style="69" customWidth="1"/>
    <col min="7465" max="7466" width="12" style="69" customWidth="1"/>
    <col min="7467" max="7467" width="11.42578125" style="69"/>
    <col min="7468" max="7468" width="8.28515625" style="69" customWidth="1"/>
    <col min="7469" max="7469" width="13" style="69" customWidth="1"/>
    <col min="7470" max="7470" width="11.140625" style="69" bestFit="1" customWidth="1"/>
    <col min="7471" max="7472" width="9.85546875" style="69" bestFit="1" customWidth="1"/>
    <col min="7473" max="7686" width="11.42578125" style="69"/>
    <col min="7687" max="7687" width="26.140625" style="69" bestFit="1" customWidth="1"/>
    <col min="7688" max="7688" width="11.42578125" style="69"/>
    <col min="7689" max="7689" width="11.140625" style="69" customWidth="1"/>
    <col min="7690" max="7690" width="10.42578125" style="69" customWidth="1"/>
    <col min="7691" max="7691" width="11.140625" style="69" customWidth="1"/>
    <col min="7692" max="7692" width="12" style="69" customWidth="1"/>
    <col min="7693" max="7693" width="11.28515625" style="69" customWidth="1"/>
    <col min="7694" max="7694" width="12.42578125" style="69" customWidth="1"/>
    <col min="7695" max="7695" width="13.42578125" style="69" customWidth="1"/>
    <col min="7696" max="7696" width="13" style="69" customWidth="1"/>
    <col min="7697" max="7697" width="10.140625" style="69" customWidth="1"/>
    <col min="7698" max="7698" width="11.7109375" style="69" customWidth="1"/>
    <col min="7699" max="7699" width="11.42578125" style="69" customWidth="1"/>
    <col min="7700" max="7700" width="9.28515625" style="69" customWidth="1"/>
    <col min="7701" max="7702" width="11.42578125" style="69" customWidth="1"/>
    <col min="7703" max="7704" width="10.42578125" style="69" customWidth="1"/>
    <col min="7705" max="7705" width="10.85546875" style="69" customWidth="1"/>
    <col min="7706" max="7706" width="12.7109375" style="69" customWidth="1"/>
    <col min="7707" max="7707" width="13.28515625" style="69" customWidth="1"/>
    <col min="7708" max="7708" width="13.85546875" style="69" customWidth="1"/>
    <col min="7709" max="7709" width="12.7109375" style="69" customWidth="1"/>
    <col min="7710" max="7710" width="11.85546875" style="69" customWidth="1"/>
    <col min="7711" max="7712" width="12.85546875" style="69" customWidth="1"/>
    <col min="7713" max="7713" width="11.28515625" style="69" customWidth="1"/>
    <col min="7714" max="7714" width="10.42578125" style="69" customWidth="1"/>
    <col min="7715" max="7715" width="11.42578125" style="69" customWidth="1"/>
    <col min="7716" max="7716" width="12.28515625" style="69" customWidth="1"/>
    <col min="7717" max="7717" width="9.85546875" style="69" customWidth="1"/>
    <col min="7718" max="7718" width="12.28515625" style="69" customWidth="1"/>
    <col min="7719" max="7719" width="13.42578125" style="69" customWidth="1"/>
    <col min="7720" max="7720" width="11" style="69" customWidth="1"/>
    <col min="7721" max="7722" width="12" style="69" customWidth="1"/>
    <col min="7723" max="7723" width="11.42578125" style="69"/>
    <col min="7724" max="7724" width="8.28515625" style="69" customWidth="1"/>
    <col min="7725" max="7725" width="13" style="69" customWidth="1"/>
    <col min="7726" max="7726" width="11.140625" style="69" bestFit="1" customWidth="1"/>
    <col min="7727" max="7728" width="9.85546875" style="69" bestFit="1" customWidth="1"/>
    <col min="7729" max="7942" width="11.42578125" style="69"/>
    <col min="7943" max="7943" width="26.140625" style="69" bestFit="1" customWidth="1"/>
    <col min="7944" max="7944" width="11.42578125" style="69"/>
    <col min="7945" max="7945" width="11.140625" style="69" customWidth="1"/>
    <col min="7946" max="7946" width="10.42578125" style="69" customWidth="1"/>
    <col min="7947" max="7947" width="11.140625" style="69" customWidth="1"/>
    <col min="7948" max="7948" width="12" style="69" customWidth="1"/>
    <col min="7949" max="7949" width="11.28515625" style="69" customWidth="1"/>
    <col min="7950" max="7950" width="12.42578125" style="69" customWidth="1"/>
    <col min="7951" max="7951" width="13.42578125" style="69" customWidth="1"/>
    <col min="7952" max="7952" width="13" style="69" customWidth="1"/>
    <col min="7953" max="7953" width="10.140625" style="69" customWidth="1"/>
    <col min="7954" max="7954" width="11.7109375" style="69" customWidth="1"/>
    <col min="7955" max="7955" width="11.42578125" style="69" customWidth="1"/>
    <col min="7956" max="7956" width="9.28515625" style="69" customWidth="1"/>
    <col min="7957" max="7958" width="11.42578125" style="69" customWidth="1"/>
    <col min="7959" max="7960" width="10.42578125" style="69" customWidth="1"/>
    <col min="7961" max="7961" width="10.85546875" style="69" customWidth="1"/>
    <col min="7962" max="7962" width="12.7109375" style="69" customWidth="1"/>
    <col min="7963" max="7963" width="13.28515625" style="69" customWidth="1"/>
    <col min="7964" max="7964" width="13.85546875" style="69" customWidth="1"/>
    <col min="7965" max="7965" width="12.7109375" style="69" customWidth="1"/>
    <col min="7966" max="7966" width="11.85546875" style="69" customWidth="1"/>
    <col min="7967" max="7968" width="12.85546875" style="69" customWidth="1"/>
    <col min="7969" max="7969" width="11.28515625" style="69" customWidth="1"/>
    <col min="7970" max="7970" width="10.42578125" style="69" customWidth="1"/>
    <col min="7971" max="7971" width="11.42578125" style="69" customWidth="1"/>
    <col min="7972" max="7972" width="12.28515625" style="69" customWidth="1"/>
    <col min="7973" max="7973" width="9.85546875" style="69" customWidth="1"/>
    <col min="7974" max="7974" width="12.28515625" style="69" customWidth="1"/>
    <col min="7975" max="7975" width="13.42578125" style="69" customWidth="1"/>
    <col min="7976" max="7976" width="11" style="69" customWidth="1"/>
    <col min="7977" max="7978" width="12" style="69" customWidth="1"/>
    <col min="7979" max="7979" width="11.42578125" style="69"/>
    <col min="7980" max="7980" width="8.28515625" style="69" customWidth="1"/>
    <col min="7981" max="7981" width="13" style="69" customWidth="1"/>
    <col min="7982" max="7982" width="11.140625" style="69" bestFit="1" customWidth="1"/>
    <col min="7983" max="7984" width="9.85546875" style="69" bestFit="1" customWidth="1"/>
    <col min="7985" max="8198" width="11.42578125" style="69"/>
    <col min="8199" max="8199" width="26.140625" style="69" bestFit="1" customWidth="1"/>
    <col min="8200" max="8200" width="11.42578125" style="69"/>
    <col min="8201" max="8201" width="11.140625" style="69" customWidth="1"/>
    <col min="8202" max="8202" width="10.42578125" style="69" customWidth="1"/>
    <col min="8203" max="8203" width="11.140625" style="69" customWidth="1"/>
    <col min="8204" max="8204" width="12" style="69" customWidth="1"/>
    <col min="8205" max="8205" width="11.28515625" style="69" customWidth="1"/>
    <col min="8206" max="8206" width="12.42578125" style="69" customWidth="1"/>
    <col min="8207" max="8207" width="13.42578125" style="69" customWidth="1"/>
    <col min="8208" max="8208" width="13" style="69" customWidth="1"/>
    <col min="8209" max="8209" width="10.140625" style="69" customWidth="1"/>
    <col min="8210" max="8210" width="11.7109375" style="69" customWidth="1"/>
    <col min="8211" max="8211" width="11.42578125" style="69" customWidth="1"/>
    <col min="8212" max="8212" width="9.28515625" style="69" customWidth="1"/>
    <col min="8213" max="8214" width="11.42578125" style="69" customWidth="1"/>
    <col min="8215" max="8216" width="10.42578125" style="69" customWidth="1"/>
    <col min="8217" max="8217" width="10.85546875" style="69" customWidth="1"/>
    <col min="8218" max="8218" width="12.7109375" style="69" customWidth="1"/>
    <col min="8219" max="8219" width="13.28515625" style="69" customWidth="1"/>
    <col min="8220" max="8220" width="13.85546875" style="69" customWidth="1"/>
    <col min="8221" max="8221" width="12.7109375" style="69" customWidth="1"/>
    <col min="8222" max="8222" width="11.85546875" style="69" customWidth="1"/>
    <col min="8223" max="8224" width="12.85546875" style="69" customWidth="1"/>
    <col min="8225" max="8225" width="11.28515625" style="69" customWidth="1"/>
    <col min="8226" max="8226" width="10.42578125" style="69" customWidth="1"/>
    <col min="8227" max="8227" width="11.42578125" style="69" customWidth="1"/>
    <col min="8228" max="8228" width="12.28515625" style="69" customWidth="1"/>
    <col min="8229" max="8229" width="9.85546875" style="69" customWidth="1"/>
    <col min="8230" max="8230" width="12.28515625" style="69" customWidth="1"/>
    <col min="8231" max="8231" width="13.42578125" style="69" customWidth="1"/>
    <col min="8232" max="8232" width="11" style="69" customWidth="1"/>
    <col min="8233" max="8234" width="12" style="69" customWidth="1"/>
    <col min="8235" max="8235" width="11.42578125" style="69"/>
    <col min="8236" max="8236" width="8.28515625" style="69" customWidth="1"/>
    <col min="8237" max="8237" width="13" style="69" customWidth="1"/>
    <col min="8238" max="8238" width="11.140625" style="69" bestFit="1" customWidth="1"/>
    <col min="8239" max="8240" width="9.85546875" style="69" bestFit="1" customWidth="1"/>
    <col min="8241" max="8454" width="11.42578125" style="69"/>
    <col min="8455" max="8455" width="26.140625" style="69" bestFit="1" customWidth="1"/>
    <col min="8456" max="8456" width="11.42578125" style="69"/>
    <col min="8457" max="8457" width="11.140625" style="69" customWidth="1"/>
    <col min="8458" max="8458" width="10.42578125" style="69" customWidth="1"/>
    <col min="8459" max="8459" width="11.140625" style="69" customWidth="1"/>
    <col min="8460" max="8460" width="12" style="69" customWidth="1"/>
    <col min="8461" max="8461" width="11.28515625" style="69" customWidth="1"/>
    <col min="8462" max="8462" width="12.42578125" style="69" customWidth="1"/>
    <col min="8463" max="8463" width="13.42578125" style="69" customWidth="1"/>
    <col min="8464" max="8464" width="13" style="69" customWidth="1"/>
    <col min="8465" max="8465" width="10.140625" style="69" customWidth="1"/>
    <col min="8466" max="8466" width="11.7109375" style="69" customWidth="1"/>
    <col min="8467" max="8467" width="11.42578125" style="69" customWidth="1"/>
    <col min="8468" max="8468" width="9.28515625" style="69" customWidth="1"/>
    <col min="8469" max="8470" width="11.42578125" style="69" customWidth="1"/>
    <col min="8471" max="8472" width="10.42578125" style="69" customWidth="1"/>
    <col min="8473" max="8473" width="10.85546875" style="69" customWidth="1"/>
    <col min="8474" max="8474" width="12.7109375" style="69" customWidth="1"/>
    <col min="8475" max="8475" width="13.28515625" style="69" customWidth="1"/>
    <col min="8476" max="8476" width="13.85546875" style="69" customWidth="1"/>
    <col min="8477" max="8477" width="12.7109375" style="69" customWidth="1"/>
    <col min="8478" max="8478" width="11.85546875" style="69" customWidth="1"/>
    <col min="8479" max="8480" width="12.85546875" style="69" customWidth="1"/>
    <col min="8481" max="8481" width="11.28515625" style="69" customWidth="1"/>
    <col min="8482" max="8482" width="10.42578125" style="69" customWidth="1"/>
    <col min="8483" max="8483" width="11.42578125" style="69" customWidth="1"/>
    <col min="8484" max="8484" width="12.28515625" style="69" customWidth="1"/>
    <col min="8485" max="8485" width="9.85546875" style="69" customWidth="1"/>
    <col min="8486" max="8486" width="12.28515625" style="69" customWidth="1"/>
    <col min="8487" max="8487" width="13.42578125" style="69" customWidth="1"/>
    <col min="8488" max="8488" width="11" style="69" customWidth="1"/>
    <col min="8489" max="8490" width="12" style="69" customWidth="1"/>
    <col min="8491" max="8491" width="11.42578125" style="69"/>
    <col min="8492" max="8492" width="8.28515625" style="69" customWidth="1"/>
    <col min="8493" max="8493" width="13" style="69" customWidth="1"/>
    <col min="8494" max="8494" width="11.140625" style="69" bestFit="1" customWidth="1"/>
    <col min="8495" max="8496" width="9.85546875" style="69" bestFit="1" customWidth="1"/>
    <col min="8497" max="8710" width="11.42578125" style="69"/>
    <col min="8711" max="8711" width="26.140625" style="69" bestFit="1" customWidth="1"/>
    <col min="8712" max="8712" width="11.42578125" style="69"/>
    <col min="8713" max="8713" width="11.140625" style="69" customWidth="1"/>
    <col min="8714" max="8714" width="10.42578125" style="69" customWidth="1"/>
    <col min="8715" max="8715" width="11.140625" style="69" customWidth="1"/>
    <col min="8716" max="8716" width="12" style="69" customWidth="1"/>
    <col min="8717" max="8717" width="11.28515625" style="69" customWidth="1"/>
    <col min="8718" max="8718" width="12.42578125" style="69" customWidth="1"/>
    <col min="8719" max="8719" width="13.42578125" style="69" customWidth="1"/>
    <col min="8720" max="8720" width="13" style="69" customWidth="1"/>
    <col min="8721" max="8721" width="10.140625" style="69" customWidth="1"/>
    <col min="8722" max="8722" width="11.7109375" style="69" customWidth="1"/>
    <col min="8723" max="8723" width="11.42578125" style="69" customWidth="1"/>
    <col min="8724" max="8724" width="9.28515625" style="69" customWidth="1"/>
    <col min="8725" max="8726" width="11.42578125" style="69" customWidth="1"/>
    <col min="8727" max="8728" width="10.42578125" style="69" customWidth="1"/>
    <col min="8729" max="8729" width="10.85546875" style="69" customWidth="1"/>
    <col min="8730" max="8730" width="12.7109375" style="69" customWidth="1"/>
    <col min="8731" max="8731" width="13.28515625" style="69" customWidth="1"/>
    <col min="8732" max="8732" width="13.85546875" style="69" customWidth="1"/>
    <col min="8733" max="8733" width="12.7109375" style="69" customWidth="1"/>
    <col min="8734" max="8734" width="11.85546875" style="69" customWidth="1"/>
    <col min="8735" max="8736" width="12.85546875" style="69" customWidth="1"/>
    <col min="8737" max="8737" width="11.28515625" style="69" customWidth="1"/>
    <col min="8738" max="8738" width="10.42578125" style="69" customWidth="1"/>
    <col min="8739" max="8739" width="11.42578125" style="69" customWidth="1"/>
    <col min="8740" max="8740" width="12.28515625" style="69" customWidth="1"/>
    <col min="8741" max="8741" width="9.85546875" style="69" customWidth="1"/>
    <col min="8742" max="8742" width="12.28515625" style="69" customWidth="1"/>
    <col min="8743" max="8743" width="13.42578125" style="69" customWidth="1"/>
    <col min="8744" max="8744" width="11" style="69" customWidth="1"/>
    <col min="8745" max="8746" width="12" style="69" customWidth="1"/>
    <col min="8747" max="8747" width="11.42578125" style="69"/>
    <col min="8748" max="8748" width="8.28515625" style="69" customWidth="1"/>
    <col min="8749" max="8749" width="13" style="69" customWidth="1"/>
    <col min="8750" max="8750" width="11.140625" style="69" bestFit="1" customWidth="1"/>
    <col min="8751" max="8752" width="9.85546875" style="69" bestFit="1" customWidth="1"/>
    <col min="8753" max="8966" width="11.42578125" style="69"/>
    <col min="8967" max="8967" width="26.140625" style="69" bestFit="1" customWidth="1"/>
    <col min="8968" max="8968" width="11.42578125" style="69"/>
    <col min="8969" max="8969" width="11.140625" style="69" customWidth="1"/>
    <col min="8970" max="8970" width="10.42578125" style="69" customWidth="1"/>
    <col min="8971" max="8971" width="11.140625" style="69" customWidth="1"/>
    <col min="8972" max="8972" width="12" style="69" customWidth="1"/>
    <col min="8973" max="8973" width="11.28515625" style="69" customWidth="1"/>
    <col min="8974" max="8974" width="12.42578125" style="69" customWidth="1"/>
    <col min="8975" max="8975" width="13.42578125" style="69" customWidth="1"/>
    <col min="8976" max="8976" width="13" style="69" customWidth="1"/>
    <col min="8977" max="8977" width="10.140625" style="69" customWidth="1"/>
    <col min="8978" max="8978" width="11.7109375" style="69" customWidth="1"/>
    <col min="8979" max="8979" width="11.42578125" style="69" customWidth="1"/>
    <col min="8980" max="8980" width="9.28515625" style="69" customWidth="1"/>
    <col min="8981" max="8982" width="11.42578125" style="69" customWidth="1"/>
    <col min="8983" max="8984" width="10.42578125" style="69" customWidth="1"/>
    <col min="8985" max="8985" width="10.85546875" style="69" customWidth="1"/>
    <col min="8986" max="8986" width="12.7109375" style="69" customWidth="1"/>
    <col min="8987" max="8987" width="13.28515625" style="69" customWidth="1"/>
    <col min="8988" max="8988" width="13.85546875" style="69" customWidth="1"/>
    <col min="8989" max="8989" width="12.7109375" style="69" customWidth="1"/>
    <col min="8990" max="8990" width="11.85546875" style="69" customWidth="1"/>
    <col min="8991" max="8992" width="12.85546875" style="69" customWidth="1"/>
    <col min="8993" max="8993" width="11.28515625" style="69" customWidth="1"/>
    <col min="8994" max="8994" width="10.42578125" style="69" customWidth="1"/>
    <col min="8995" max="8995" width="11.42578125" style="69" customWidth="1"/>
    <col min="8996" max="8996" width="12.28515625" style="69" customWidth="1"/>
    <col min="8997" max="8997" width="9.85546875" style="69" customWidth="1"/>
    <col min="8998" max="8998" width="12.28515625" style="69" customWidth="1"/>
    <col min="8999" max="8999" width="13.42578125" style="69" customWidth="1"/>
    <col min="9000" max="9000" width="11" style="69" customWidth="1"/>
    <col min="9001" max="9002" width="12" style="69" customWidth="1"/>
    <col min="9003" max="9003" width="11.42578125" style="69"/>
    <col min="9004" max="9004" width="8.28515625" style="69" customWidth="1"/>
    <col min="9005" max="9005" width="13" style="69" customWidth="1"/>
    <col min="9006" max="9006" width="11.140625" style="69" bestFit="1" customWidth="1"/>
    <col min="9007" max="9008" width="9.85546875" style="69" bestFit="1" customWidth="1"/>
    <col min="9009" max="9222" width="11.42578125" style="69"/>
    <col min="9223" max="9223" width="26.140625" style="69" bestFit="1" customWidth="1"/>
    <col min="9224" max="9224" width="11.42578125" style="69"/>
    <col min="9225" max="9225" width="11.140625" style="69" customWidth="1"/>
    <col min="9226" max="9226" width="10.42578125" style="69" customWidth="1"/>
    <col min="9227" max="9227" width="11.140625" style="69" customWidth="1"/>
    <col min="9228" max="9228" width="12" style="69" customWidth="1"/>
    <col min="9229" max="9229" width="11.28515625" style="69" customWidth="1"/>
    <col min="9230" max="9230" width="12.42578125" style="69" customWidth="1"/>
    <col min="9231" max="9231" width="13.42578125" style="69" customWidth="1"/>
    <col min="9232" max="9232" width="13" style="69" customWidth="1"/>
    <col min="9233" max="9233" width="10.140625" style="69" customWidth="1"/>
    <col min="9234" max="9234" width="11.7109375" style="69" customWidth="1"/>
    <col min="9235" max="9235" width="11.42578125" style="69" customWidth="1"/>
    <col min="9236" max="9236" width="9.28515625" style="69" customWidth="1"/>
    <col min="9237" max="9238" width="11.42578125" style="69" customWidth="1"/>
    <col min="9239" max="9240" width="10.42578125" style="69" customWidth="1"/>
    <col min="9241" max="9241" width="10.85546875" style="69" customWidth="1"/>
    <col min="9242" max="9242" width="12.7109375" style="69" customWidth="1"/>
    <col min="9243" max="9243" width="13.28515625" style="69" customWidth="1"/>
    <col min="9244" max="9244" width="13.85546875" style="69" customWidth="1"/>
    <col min="9245" max="9245" width="12.7109375" style="69" customWidth="1"/>
    <col min="9246" max="9246" width="11.85546875" style="69" customWidth="1"/>
    <col min="9247" max="9248" width="12.85546875" style="69" customWidth="1"/>
    <col min="9249" max="9249" width="11.28515625" style="69" customWidth="1"/>
    <col min="9250" max="9250" width="10.42578125" style="69" customWidth="1"/>
    <col min="9251" max="9251" width="11.42578125" style="69" customWidth="1"/>
    <col min="9252" max="9252" width="12.28515625" style="69" customWidth="1"/>
    <col min="9253" max="9253" width="9.85546875" style="69" customWidth="1"/>
    <col min="9254" max="9254" width="12.28515625" style="69" customWidth="1"/>
    <col min="9255" max="9255" width="13.42578125" style="69" customWidth="1"/>
    <col min="9256" max="9256" width="11" style="69" customWidth="1"/>
    <col min="9257" max="9258" width="12" style="69" customWidth="1"/>
    <col min="9259" max="9259" width="11.42578125" style="69"/>
    <col min="9260" max="9260" width="8.28515625" style="69" customWidth="1"/>
    <col min="9261" max="9261" width="13" style="69" customWidth="1"/>
    <col min="9262" max="9262" width="11.140625" style="69" bestFit="1" customWidth="1"/>
    <col min="9263" max="9264" width="9.85546875" style="69" bestFit="1" customWidth="1"/>
    <col min="9265" max="9478" width="11.42578125" style="69"/>
    <col min="9479" max="9479" width="26.140625" style="69" bestFit="1" customWidth="1"/>
    <col min="9480" max="9480" width="11.42578125" style="69"/>
    <col min="9481" max="9481" width="11.140625" style="69" customWidth="1"/>
    <col min="9482" max="9482" width="10.42578125" style="69" customWidth="1"/>
    <col min="9483" max="9483" width="11.140625" style="69" customWidth="1"/>
    <col min="9484" max="9484" width="12" style="69" customWidth="1"/>
    <col min="9485" max="9485" width="11.28515625" style="69" customWidth="1"/>
    <col min="9486" max="9486" width="12.42578125" style="69" customWidth="1"/>
    <col min="9487" max="9487" width="13.42578125" style="69" customWidth="1"/>
    <col min="9488" max="9488" width="13" style="69" customWidth="1"/>
    <col min="9489" max="9489" width="10.140625" style="69" customWidth="1"/>
    <col min="9490" max="9490" width="11.7109375" style="69" customWidth="1"/>
    <col min="9491" max="9491" width="11.42578125" style="69" customWidth="1"/>
    <col min="9492" max="9492" width="9.28515625" style="69" customWidth="1"/>
    <col min="9493" max="9494" width="11.42578125" style="69" customWidth="1"/>
    <col min="9495" max="9496" width="10.42578125" style="69" customWidth="1"/>
    <col min="9497" max="9497" width="10.85546875" style="69" customWidth="1"/>
    <col min="9498" max="9498" width="12.7109375" style="69" customWidth="1"/>
    <col min="9499" max="9499" width="13.28515625" style="69" customWidth="1"/>
    <col min="9500" max="9500" width="13.85546875" style="69" customWidth="1"/>
    <col min="9501" max="9501" width="12.7109375" style="69" customWidth="1"/>
    <col min="9502" max="9502" width="11.85546875" style="69" customWidth="1"/>
    <col min="9503" max="9504" width="12.85546875" style="69" customWidth="1"/>
    <col min="9505" max="9505" width="11.28515625" style="69" customWidth="1"/>
    <col min="9506" max="9506" width="10.42578125" style="69" customWidth="1"/>
    <col min="9507" max="9507" width="11.42578125" style="69" customWidth="1"/>
    <col min="9508" max="9508" width="12.28515625" style="69" customWidth="1"/>
    <col min="9509" max="9509" width="9.85546875" style="69" customWidth="1"/>
    <col min="9510" max="9510" width="12.28515625" style="69" customWidth="1"/>
    <col min="9511" max="9511" width="13.42578125" style="69" customWidth="1"/>
    <col min="9512" max="9512" width="11" style="69" customWidth="1"/>
    <col min="9513" max="9514" width="12" style="69" customWidth="1"/>
    <col min="9515" max="9515" width="11.42578125" style="69"/>
    <col min="9516" max="9516" width="8.28515625" style="69" customWidth="1"/>
    <col min="9517" max="9517" width="13" style="69" customWidth="1"/>
    <col min="9518" max="9518" width="11.140625" style="69" bestFit="1" customWidth="1"/>
    <col min="9519" max="9520" width="9.85546875" style="69" bestFit="1" customWidth="1"/>
    <col min="9521" max="9734" width="11.42578125" style="69"/>
    <col min="9735" max="9735" width="26.140625" style="69" bestFit="1" customWidth="1"/>
    <col min="9736" max="9736" width="11.42578125" style="69"/>
    <col min="9737" max="9737" width="11.140625" style="69" customWidth="1"/>
    <col min="9738" max="9738" width="10.42578125" style="69" customWidth="1"/>
    <col min="9739" max="9739" width="11.140625" style="69" customWidth="1"/>
    <col min="9740" max="9740" width="12" style="69" customWidth="1"/>
    <col min="9741" max="9741" width="11.28515625" style="69" customWidth="1"/>
    <col min="9742" max="9742" width="12.42578125" style="69" customWidth="1"/>
    <col min="9743" max="9743" width="13.42578125" style="69" customWidth="1"/>
    <col min="9744" max="9744" width="13" style="69" customWidth="1"/>
    <col min="9745" max="9745" width="10.140625" style="69" customWidth="1"/>
    <col min="9746" max="9746" width="11.7109375" style="69" customWidth="1"/>
    <col min="9747" max="9747" width="11.42578125" style="69" customWidth="1"/>
    <col min="9748" max="9748" width="9.28515625" style="69" customWidth="1"/>
    <col min="9749" max="9750" width="11.42578125" style="69" customWidth="1"/>
    <col min="9751" max="9752" width="10.42578125" style="69" customWidth="1"/>
    <col min="9753" max="9753" width="10.85546875" style="69" customWidth="1"/>
    <col min="9754" max="9754" width="12.7109375" style="69" customWidth="1"/>
    <col min="9755" max="9755" width="13.28515625" style="69" customWidth="1"/>
    <col min="9756" max="9756" width="13.85546875" style="69" customWidth="1"/>
    <col min="9757" max="9757" width="12.7109375" style="69" customWidth="1"/>
    <col min="9758" max="9758" width="11.85546875" style="69" customWidth="1"/>
    <col min="9759" max="9760" width="12.85546875" style="69" customWidth="1"/>
    <col min="9761" max="9761" width="11.28515625" style="69" customWidth="1"/>
    <col min="9762" max="9762" width="10.42578125" style="69" customWidth="1"/>
    <col min="9763" max="9763" width="11.42578125" style="69" customWidth="1"/>
    <col min="9764" max="9764" width="12.28515625" style="69" customWidth="1"/>
    <col min="9765" max="9765" width="9.85546875" style="69" customWidth="1"/>
    <col min="9766" max="9766" width="12.28515625" style="69" customWidth="1"/>
    <col min="9767" max="9767" width="13.42578125" style="69" customWidth="1"/>
    <col min="9768" max="9768" width="11" style="69" customWidth="1"/>
    <col min="9769" max="9770" width="12" style="69" customWidth="1"/>
    <col min="9771" max="9771" width="11.42578125" style="69"/>
    <col min="9772" max="9772" width="8.28515625" style="69" customWidth="1"/>
    <col min="9773" max="9773" width="13" style="69" customWidth="1"/>
    <col min="9774" max="9774" width="11.140625" style="69" bestFit="1" customWidth="1"/>
    <col min="9775" max="9776" width="9.85546875" style="69" bestFit="1" customWidth="1"/>
    <col min="9777" max="9990" width="11.42578125" style="69"/>
    <col min="9991" max="9991" width="26.140625" style="69" bestFit="1" customWidth="1"/>
    <col min="9992" max="9992" width="11.42578125" style="69"/>
    <col min="9993" max="9993" width="11.140625" style="69" customWidth="1"/>
    <col min="9994" max="9994" width="10.42578125" style="69" customWidth="1"/>
    <col min="9995" max="9995" width="11.140625" style="69" customWidth="1"/>
    <col min="9996" max="9996" width="12" style="69" customWidth="1"/>
    <col min="9997" max="9997" width="11.28515625" style="69" customWidth="1"/>
    <col min="9998" max="9998" width="12.42578125" style="69" customWidth="1"/>
    <col min="9999" max="9999" width="13.42578125" style="69" customWidth="1"/>
    <col min="10000" max="10000" width="13" style="69" customWidth="1"/>
    <col min="10001" max="10001" width="10.140625" style="69" customWidth="1"/>
    <col min="10002" max="10002" width="11.7109375" style="69" customWidth="1"/>
    <col min="10003" max="10003" width="11.42578125" style="69" customWidth="1"/>
    <col min="10004" max="10004" width="9.28515625" style="69" customWidth="1"/>
    <col min="10005" max="10006" width="11.42578125" style="69" customWidth="1"/>
    <col min="10007" max="10008" width="10.42578125" style="69" customWidth="1"/>
    <col min="10009" max="10009" width="10.85546875" style="69" customWidth="1"/>
    <col min="10010" max="10010" width="12.7109375" style="69" customWidth="1"/>
    <col min="10011" max="10011" width="13.28515625" style="69" customWidth="1"/>
    <col min="10012" max="10012" width="13.85546875" style="69" customWidth="1"/>
    <col min="10013" max="10013" width="12.7109375" style="69" customWidth="1"/>
    <col min="10014" max="10014" width="11.85546875" style="69" customWidth="1"/>
    <col min="10015" max="10016" width="12.85546875" style="69" customWidth="1"/>
    <col min="10017" max="10017" width="11.28515625" style="69" customWidth="1"/>
    <col min="10018" max="10018" width="10.42578125" style="69" customWidth="1"/>
    <col min="10019" max="10019" width="11.42578125" style="69" customWidth="1"/>
    <col min="10020" max="10020" width="12.28515625" style="69" customWidth="1"/>
    <col min="10021" max="10021" width="9.85546875" style="69" customWidth="1"/>
    <col min="10022" max="10022" width="12.28515625" style="69" customWidth="1"/>
    <col min="10023" max="10023" width="13.42578125" style="69" customWidth="1"/>
    <col min="10024" max="10024" width="11" style="69" customWidth="1"/>
    <col min="10025" max="10026" width="12" style="69" customWidth="1"/>
    <col min="10027" max="10027" width="11.42578125" style="69"/>
    <col min="10028" max="10028" width="8.28515625" style="69" customWidth="1"/>
    <col min="10029" max="10029" width="13" style="69" customWidth="1"/>
    <col min="10030" max="10030" width="11.140625" style="69" bestFit="1" customWidth="1"/>
    <col min="10031" max="10032" width="9.85546875" style="69" bestFit="1" customWidth="1"/>
    <col min="10033" max="10246" width="11.42578125" style="69"/>
    <col min="10247" max="10247" width="26.140625" style="69" bestFit="1" customWidth="1"/>
    <col min="10248" max="10248" width="11.42578125" style="69"/>
    <col min="10249" max="10249" width="11.140625" style="69" customWidth="1"/>
    <col min="10250" max="10250" width="10.42578125" style="69" customWidth="1"/>
    <col min="10251" max="10251" width="11.140625" style="69" customWidth="1"/>
    <col min="10252" max="10252" width="12" style="69" customWidth="1"/>
    <col min="10253" max="10253" width="11.28515625" style="69" customWidth="1"/>
    <col min="10254" max="10254" width="12.42578125" style="69" customWidth="1"/>
    <col min="10255" max="10255" width="13.42578125" style="69" customWidth="1"/>
    <col min="10256" max="10256" width="13" style="69" customWidth="1"/>
    <col min="10257" max="10257" width="10.140625" style="69" customWidth="1"/>
    <col min="10258" max="10258" width="11.7109375" style="69" customWidth="1"/>
    <col min="10259" max="10259" width="11.42578125" style="69" customWidth="1"/>
    <col min="10260" max="10260" width="9.28515625" style="69" customWidth="1"/>
    <col min="10261" max="10262" width="11.42578125" style="69" customWidth="1"/>
    <col min="10263" max="10264" width="10.42578125" style="69" customWidth="1"/>
    <col min="10265" max="10265" width="10.85546875" style="69" customWidth="1"/>
    <col min="10266" max="10266" width="12.7109375" style="69" customWidth="1"/>
    <col min="10267" max="10267" width="13.28515625" style="69" customWidth="1"/>
    <col min="10268" max="10268" width="13.85546875" style="69" customWidth="1"/>
    <col min="10269" max="10269" width="12.7109375" style="69" customWidth="1"/>
    <col min="10270" max="10270" width="11.85546875" style="69" customWidth="1"/>
    <col min="10271" max="10272" width="12.85546875" style="69" customWidth="1"/>
    <col min="10273" max="10273" width="11.28515625" style="69" customWidth="1"/>
    <col min="10274" max="10274" width="10.42578125" style="69" customWidth="1"/>
    <col min="10275" max="10275" width="11.42578125" style="69" customWidth="1"/>
    <col min="10276" max="10276" width="12.28515625" style="69" customWidth="1"/>
    <col min="10277" max="10277" width="9.85546875" style="69" customWidth="1"/>
    <col min="10278" max="10278" width="12.28515625" style="69" customWidth="1"/>
    <col min="10279" max="10279" width="13.42578125" style="69" customWidth="1"/>
    <col min="10280" max="10280" width="11" style="69" customWidth="1"/>
    <col min="10281" max="10282" width="12" style="69" customWidth="1"/>
    <col min="10283" max="10283" width="11.42578125" style="69"/>
    <col min="10284" max="10284" width="8.28515625" style="69" customWidth="1"/>
    <col min="10285" max="10285" width="13" style="69" customWidth="1"/>
    <col min="10286" max="10286" width="11.140625" style="69" bestFit="1" customWidth="1"/>
    <col min="10287" max="10288" width="9.85546875" style="69" bestFit="1" customWidth="1"/>
    <col min="10289" max="10502" width="11.42578125" style="69"/>
    <col min="10503" max="10503" width="26.140625" style="69" bestFit="1" customWidth="1"/>
    <col min="10504" max="10504" width="11.42578125" style="69"/>
    <col min="10505" max="10505" width="11.140625" style="69" customWidth="1"/>
    <col min="10506" max="10506" width="10.42578125" style="69" customWidth="1"/>
    <col min="10507" max="10507" width="11.140625" style="69" customWidth="1"/>
    <col min="10508" max="10508" width="12" style="69" customWidth="1"/>
    <col min="10509" max="10509" width="11.28515625" style="69" customWidth="1"/>
    <col min="10510" max="10510" width="12.42578125" style="69" customWidth="1"/>
    <col min="10511" max="10511" width="13.42578125" style="69" customWidth="1"/>
    <col min="10512" max="10512" width="13" style="69" customWidth="1"/>
    <col min="10513" max="10513" width="10.140625" style="69" customWidth="1"/>
    <col min="10514" max="10514" width="11.7109375" style="69" customWidth="1"/>
    <col min="10515" max="10515" width="11.42578125" style="69" customWidth="1"/>
    <col min="10516" max="10516" width="9.28515625" style="69" customWidth="1"/>
    <col min="10517" max="10518" width="11.42578125" style="69" customWidth="1"/>
    <col min="10519" max="10520" width="10.42578125" style="69" customWidth="1"/>
    <col min="10521" max="10521" width="10.85546875" style="69" customWidth="1"/>
    <col min="10522" max="10522" width="12.7109375" style="69" customWidth="1"/>
    <col min="10523" max="10523" width="13.28515625" style="69" customWidth="1"/>
    <col min="10524" max="10524" width="13.85546875" style="69" customWidth="1"/>
    <col min="10525" max="10525" width="12.7109375" style="69" customWidth="1"/>
    <col min="10526" max="10526" width="11.85546875" style="69" customWidth="1"/>
    <col min="10527" max="10528" width="12.85546875" style="69" customWidth="1"/>
    <col min="10529" max="10529" width="11.28515625" style="69" customWidth="1"/>
    <col min="10530" max="10530" width="10.42578125" style="69" customWidth="1"/>
    <col min="10531" max="10531" width="11.42578125" style="69" customWidth="1"/>
    <col min="10532" max="10532" width="12.28515625" style="69" customWidth="1"/>
    <col min="10533" max="10533" width="9.85546875" style="69" customWidth="1"/>
    <col min="10534" max="10534" width="12.28515625" style="69" customWidth="1"/>
    <col min="10535" max="10535" width="13.42578125" style="69" customWidth="1"/>
    <col min="10536" max="10536" width="11" style="69" customWidth="1"/>
    <col min="10537" max="10538" width="12" style="69" customWidth="1"/>
    <col min="10539" max="10539" width="11.42578125" style="69"/>
    <col min="10540" max="10540" width="8.28515625" style="69" customWidth="1"/>
    <col min="10541" max="10541" width="13" style="69" customWidth="1"/>
    <col min="10542" max="10542" width="11.140625" style="69" bestFit="1" customWidth="1"/>
    <col min="10543" max="10544" width="9.85546875" style="69" bestFit="1" customWidth="1"/>
    <col min="10545" max="10758" width="11.42578125" style="69"/>
    <col min="10759" max="10759" width="26.140625" style="69" bestFit="1" customWidth="1"/>
    <col min="10760" max="10760" width="11.42578125" style="69"/>
    <col min="10761" max="10761" width="11.140625" style="69" customWidth="1"/>
    <col min="10762" max="10762" width="10.42578125" style="69" customWidth="1"/>
    <col min="10763" max="10763" width="11.140625" style="69" customWidth="1"/>
    <col min="10764" max="10764" width="12" style="69" customWidth="1"/>
    <col min="10765" max="10765" width="11.28515625" style="69" customWidth="1"/>
    <col min="10766" max="10766" width="12.42578125" style="69" customWidth="1"/>
    <col min="10767" max="10767" width="13.42578125" style="69" customWidth="1"/>
    <col min="10768" max="10768" width="13" style="69" customWidth="1"/>
    <col min="10769" max="10769" width="10.140625" style="69" customWidth="1"/>
    <col min="10770" max="10770" width="11.7109375" style="69" customWidth="1"/>
    <col min="10771" max="10771" width="11.42578125" style="69" customWidth="1"/>
    <col min="10772" max="10772" width="9.28515625" style="69" customWidth="1"/>
    <col min="10773" max="10774" width="11.42578125" style="69" customWidth="1"/>
    <col min="10775" max="10776" width="10.42578125" style="69" customWidth="1"/>
    <col min="10777" max="10777" width="10.85546875" style="69" customWidth="1"/>
    <col min="10778" max="10778" width="12.7109375" style="69" customWidth="1"/>
    <col min="10779" max="10779" width="13.28515625" style="69" customWidth="1"/>
    <col min="10780" max="10780" width="13.85546875" style="69" customWidth="1"/>
    <col min="10781" max="10781" width="12.7109375" style="69" customWidth="1"/>
    <col min="10782" max="10782" width="11.85546875" style="69" customWidth="1"/>
    <col min="10783" max="10784" width="12.85546875" style="69" customWidth="1"/>
    <col min="10785" max="10785" width="11.28515625" style="69" customWidth="1"/>
    <col min="10786" max="10786" width="10.42578125" style="69" customWidth="1"/>
    <col min="10787" max="10787" width="11.42578125" style="69" customWidth="1"/>
    <col min="10788" max="10788" width="12.28515625" style="69" customWidth="1"/>
    <col min="10789" max="10789" width="9.85546875" style="69" customWidth="1"/>
    <col min="10790" max="10790" width="12.28515625" style="69" customWidth="1"/>
    <col min="10791" max="10791" width="13.42578125" style="69" customWidth="1"/>
    <col min="10792" max="10792" width="11" style="69" customWidth="1"/>
    <col min="10793" max="10794" width="12" style="69" customWidth="1"/>
    <col min="10795" max="10795" width="11.42578125" style="69"/>
    <col min="10796" max="10796" width="8.28515625" style="69" customWidth="1"/>
    <col min="10797" max="10797" width="13" style="69" customWidth="1"/>
    <col min="10798" max="10798" width="11.140625" style="69" bestFit="1" customWidth="1"/>
    <col min="10799" max="10800" width="9.85546875" style="69" bestFit="1" customWidth="1"/>
    <col min="10801" max="11014" width="11.42578125" style="69"/>
    <col min="11015" max="11015" width="26.140625" style="69" bestFit="1" customWidth="1"/>
    <col min="11016" max="11016" width="11.42578125" style="69"/>
    <col min="11017" max="11017" width="11.140625" style="69" customWidth="1"/>
    <col min="11018" max="11018" width="10.42578125" style="69" customWidth="1"/>
    <col min="11019" max="11019" width="11.140625" style="69" customWidth="1"/>
    <col min="11020" max="11020" width="12" style="69" customWidth="1"/>
    <col min="11021" max="11021" width="11.28515625" style="69" customWidth="1"/>
    <col min="11022" max="11022" width="12.42578125" style="69" customWidth="1"/>
    <col min="11023" max="11023" width="13.42578125" style="69" customWidth="1"/>
    <col min="11024" max="11024" width="13" style="69" customWidth="1"/>
    <col min="11025" max="11025" width="10.140625" style="69" customWidth="1"/>
    <col min="11026" max="11026" width="11.7109375" style="69" customWidth="1"/>
    <col min="11027" max="11027" width="11.42578125" style="69" customWidth="1"/>
    <col min="11028" max="11028" width="9.28515625" style="69" customWidth="1"/>
    <col min="11029" max="11030" width="11.42578125" style="69" customWidth="1"/>
    <col min="11031" max="11032" width="10.42578125" style="69" customWidth="1"/>
    <col min="11033" max="11033" width="10.85546875" style="69" customWidth="1"/>
    <col min="11034" max="11034" width="12.7109375" style="69" customWidth="1"/>
    <col min="11035" max="11035" width="13.28515625" style="69" customWidth="1"/>
    <col min="11036" max="11036" width="13.85546875" style="69" customWidth="1"/>
    <col min="11037" max="11037" width="12.7109375" style="69" customWidth="1"/>
    <col min="11038" max="11038" width="11.85546875" style="69" customWidth="1"/>
    <col min="11039" max="11040" width="12.85546875" style="69" customWidth="1"/>
    <col min="11041" max="11041" width="11.28515625" style="69" customWidth="1"/>
    <col min="11042" max="11042" width="10.42578125" style="69" customWidth="1"/>
    <col min="11043" max="11043" width="11.42578125" style="69" customWidth="1"/>
    <col min="11044" max="11044" width="12.28515625" style="69" customWidth="1"/>
    <col min="11045" max="11045" width="9.85546875" style="69" customWidth="1"/>
    <col min="11046" max="11046" width="12.28515625" style="69" customWidth="1"/>
    <col min="11047" max="11047" width="13.42578125" style="69" customWidth="1"/>
    <col min="11048" max="11048" width="11" style="69" customWidth="1"/>
    <col min="11049" max="11050" width="12" style="69" customWidth="1"/>
    <col min="11051" max="11051" width="11.42578125" style="69"/>
    <col min="11052" max="11052" width="8.28515625" style="69" customWidth="1"/>
    <col min="11053" max="11053" width="13" style="69" customWidth="1"/>
    <col min="11054" max="11054" width="11.140625" style="69" bestFit="1" customWidth="1"/>
    <col min="11055" max="11056" width="9.85546875" style="69" bestFit="1" customWidth="1"/>
    <col min="11057" max="11270" width="11.42578125" style="69"/>
    <col min="11271" max="11271" width="26.140625" style="69" bestFit="1" customWidth="1"/>
    <col min="11272" max="11272" width="11.42578125" style="69"/>
    <col min="11273" max="11273" width="11.140625" style="69" customWidth="1"/>
    <col min="11274" max="11274" width="10.42578125" style="69" customWidth="1"/>
    <col min="11275" max="11275" width="11.140625" style="69" customWidth="1"/>
    <col min="11276" max="11276" width="12" style="69" customWidth="1"/>
    <col min="11277" max="11277" width="11.28515625" style="69" customWidth="1"/>
    <col min="11278" max="11278" width="12.42578125" style="69" customWidth="1"/>
    <col min="11279" max="11279" width="13.42578125" style="69" customWidth="1"/>
    <col min="11280" max="11280" width="13" style="69" customWidth="1"/>
    <col min="11281" max="11281" width="10.140625" style="69" customWidth="1"/>
    <col min="11282" max="11282" width="11.7109375" style="69" customWidth="1"/>
    <col min="11283" max="11283" width="11.42578125" style="69" customWidth="1"/>
    <col min="11284" max="11284" width="9.28515625" style="69" customWidth="1"/>
    <col min="11285" max="11286" width="11.42578125" style="69" customWidth="1"/>
    <col min="11287" max="11288" width="10.42578125" style="69" customWidth="1"/>
    <col min="11289" max="11289" width="10.85546875" style="69" customWidth="1"/>
    <col min="11290" max="11290" width="12.7109375" style="69" customWidth="1"/>
    <col min="11291" max="11291" width="13.28515625" style="69" customWidth="1"/>
    <col min="11292" max="11292" width="13.85546875" style="69" customWidth="1"/>
    <col min="11293" max="11293" width="12.7109375" style="69" customWidth="1"/>
    <col min="11294" max="11294" width="11.85546875" style="69" customWidth="1"/>
    <col min="11295" max="11296" width="12.85546875" style="69" customWidth="1"/>
    <col min="11297" max="11297" width="11.28515625" style="69" customWidth="1"/>
    <col min="11298" max="11298" width="10.42578125" style="69" customWidth="1"/>
    <col min="11299" max="11299" width="11.42578125" style="69" customWidth="1"/>
    <col min="11300" max="11300" width="12.28515625" style="69" customWidth="1"/>
    <col min="11301" max="11301" width="9.85546875" style="69" customWidth="1"/>
    <col min="11302" max="11302" width="12.28515625" style="69" customWidth="1"/>
    <col min="11303" max="11303" width="13.42578125" style="69" customWidth="1"/>
    <col min="11304" max="11304" width="11" style="69" customWidth="1"/>
    <col min="11305" max="11306" width="12" style="69" customWidth="1"/>
    <col min="11307" max="11307" width="11.42578125" style="69"/>
    <col min="11308" max="11308" width="8.28515625" style="69" customWidth="1"/>
    <col min="11309" max="11309" width="13" style="69" customWidth="1"/>
    <col min="11310" max="11310" width="11.140625" style="69" bestFit="1" customWidth="1"/>
    <col min="11311" max="11312" width="9.85546875" style="69" bestFit="1" customWidth="1"/>
    <col min="11313" max="11526" width="11.42578125" style="69"/>
    <col min="11527" max="11527" width="26.140625" style="69" bestFit="1" customWidth="1"/>
    <col min="11528" max="11528" width="11.42578125" style="69"/>
    <col min="11529" max="11529" width="11.140625" style="69" customWidth="1"/>
    <col min="11530" max="11530" width="10.42578125" style="69" customWidth="1"/>
    <col min="11531" max="11531" width="11.140625" style="69" customWidth="1"/>
    <col min="11532" max="11532" width="12" style="69" customWidth="1"/>
    <col min="11533" max="11533" width="11.28515625" style="69" customWidth="1"/>
    <col min="11534" max="11534" width="12.42578125" style="69" customWidth="1"/>
    <col min="11535" max="11535" width="13.42578125" style="69" customWidth="1"/>
    <col min="11536" max="11536" width="13" style="69" customWidth="1"/>
    <col min="11537" max="11537" width="10.140625" style="69" customWidth="1"/>
    <col min="11538" max="11538" width="11.7109375" style="69" customWidth="1"/>
    <col min="11539" max="11539" width="11.42578125" style="69" customWidth="1"/>
    <col min="11540" max="11540" width="9.28515625" style="69" customWidth="1"/>
    <col min="11541" max="11542" width="11.42578125" style="69" customWidth="1"/>
    <col min="11543" max="11544" width="10.42578125" style="69" customWidth="1"/>
    <col min="11545" max="11545" width="10.85546875" style="69" customWidth="1"/>
    <col min="11546" max="11546" width="12.7109375" style="69" customWidth="1"/>
    <col min="11547" max="11547" width="13.28515625" style="69" customWidth="1"/>
    <col min="11548" max="11548" width="13.85546875" style="69" customWidth="1"/>
    <col min="11549" max="11549" width="12.7109375" style="69" customWidth="1"/>
    <col min="11550" max="11550" width="11.85546875" style="69" customWidth="1"/>
    <col min="11551" max="11552" width="12.85546875" style="69" customWidth="1"/>
    <col min="11553" max="11553" width="11.28515625" style="69" customWidth="1"/>
    <col min="11554" max="11554" width="10.42578125" style="69" customWidth="1"/>
    <col min="11555" max="11555" width="11.42578125" style="69" customWidth="1"/>
    <col min="11556" max="11556" width="12.28515625" style="69" customWidth="1"/>
    <col min="11557" max="11557" width="9.85546875" style="69" customWidth="1"/>
    <col min="11558" max="11558" width="12.28515625" style="69" customWidth="1"/>
    <col min="11559" max="11559" width="13.42578125" style="69" customWidth="1"/>
    <col min="11560" max="11560" width="11" style="69" customWidth="1"/>
    <col min="11561" max="11562" width="12" style="69" customWidth="1"/>
    <col min="11563" max="11563" width="11.42578125" style="69"/>
    <col min="11564" max="11564" width="8.28515625" style="69" customWidth="1"/>
    <col min="11565" max="11565" width="13" style="69" customWidth="1"/>
    <col min="11566" max="11566" width="11.140625" style="69" bestFit="1" customWidth="1"/>
    <col min="11567" max="11568" width="9.85546875" style="69" bestFit="1" customWidth="1"/>
    <col min="11569" max="11782" width="11.42578125" style="69"/>
    <col min="11783" max="11783" width="26.140625" style="69" bestFit="1" customWidth="1"/>
    <col min="11784" max="11784" width="11.42578125" style="69"/>
    <col min="11785" max="11785" width="11.140625" style="69" customWidth="1"/>
    <col min="11786" max="11786" width="10.42578125" style="69" customWidth="1"/>
    <col min="11787" max="11787" width="11.140625" style="69" customWidth="1"/>
    <col min="11788" max="11788" width="12" style="69" customWidth="1"/>
    <col min="11789" max="11789" width="11.28515625" style="69" customWidth="1"/>
    <col min="11790" max="11790" width="12.42578125" style="69" customWidth="1"/>
    <col min="11791" max="11791" width="13.42578125" style="69" customWidth="1"/>
    <col min="11792" max="11792" width="13" style="69" customWidth="1"/>
    <col min="11793" max="11793" width="10.140625" style="69" customWidth="1"/>
    <col min="11794" max="11794" width="11.7109375" style="69" customWidth="1"/>
    <col min="11795" max="11795" width="11.42578125" style="69" customWidth="1"/>
    <col min="11796" max="11796" width="9.28515625" style="69" customWidth="1"/>
    <col min="11797" max="11798" width="11.42578125" style="69" customWidth="1"/>
    <col min="11799" max="11800" width="10.42578125" style="69" customWidth="1"/>
    <col min="11801" max="11801" width="10.85546875" style="69" customWidth="1"/>
    <col min="11802" max="11802" width="12.7109375" style="69" customWidth="1"/>
    <col min="11803" max="11803" width="13.28515625" style="69" customWidth="1"/>
    <col min="11804" max="11804" width="13.85546875" style="69" customWidth="1"/>
    <col min="11805" max="11805" width="12.7109375" style="69" customWidth="1"/>
    <col min="11806" max="11806" width="11.85546875" style="69" customWidth="1"/>
    <col min="11807" max="11808" width="12.85546875" style="69" customWidth="1"/>
    <col min="11809" max="11809" width="11.28515625" style="69" customWidth="1"/>
    <col min="11810" max="11810" width="10.42578125" style="69" customWidth="1"/>
    <col min="11811" max="11811" width="11.42578125" style="69" customWidth="1"/>
    <col min="11812" max="11812" width="12.28515625" style="69" customWidth="1"/>
    <col min="11813" max="11813" width="9.85546875" style="69" customWidth="1"/>
    <col min="11814" max="11814" width="12.28515625" style="69" customWidth="1"/>
    <col min="11815" max="11815" width="13.42578125" style="69" customWidth="1"/>
    <col min="11816" max="11816" width="11" style="69" customWidth="1"/>
    <col min="11817" max="11818" width="12" style="69" customWidth="1"/>
    <col min="11819" max="11819" width="11.42578125" style="69"/>
    <col min="11820" max="11820" width="8.28515625" style="69" customWidth="1"/>
    <col min="11821" max="11821" width="13" style="69" customWidth="1"/>
    <col min="11822" max="11822" width="11.140625" style="69" bestFit="1" customWidth="1"/>
    <col min="11823" max="11824" width="9.85546875" style="69" bestFit="1" customWidth="1"/>
    <col min="11825" max="12038" width="11.42578125" style="69"/>
    <col min="12039" max="12039" width="26.140625" style="69" bestFit="1" customWidth="1"/>
    <col min="12040" max="12040" width="11.42578125" style="69"/>
    <col min="12041" max="12041" width="11.140625" style="69" customWidth="1"/>
    <col min="12042" max="12042" width="10.42578125" style="69" customWidth="1"/>
    <col min="12043" max="12043" width="11.140625" style="69" customWidth="1"/>
    <col min="12044" max="12044" width="12" style="69" customWidth="1"/>
    <col min="12045" max="12045" width="11.28515625" style="69" customWidth="1"/>
    <col min="12046" max="12046" width="12.42578125" style="69" customWidth="1"/>
    <col min="12047" max="12047" width="13.42578125" style="69" customWidth="1"/>
    <col min="12048" max="12048" width="13" style="69" customWidth="1"/>
    <col min="12049" max="12049" width="10.140625" style="69" customWidth="1"/>
    <col min="12050" max="12050" width="11.7109375" style="69" customWidth="1"/>
    <col min="12051" max="12051" width="11.42578125" style="69" customWidth="1"/>
    <col min="12052" max="12052" width="9.28515625" style="69" customWidth="1"/>
    <col min="12053" max="12054" width="11.42578125" style="69" customWidth="1"/>
    <col min="12055" max="12056" width="10.42578125" style="69" customWidth="1"/>
    <col min="12057" max="12057" width="10.85546875" style="69" customWidth="1"/>
    <col min="12058" max="12058" width="12.7109375" style="69" customWidth="1"/>
    <col min="12059" max="12059" width="13.28515625" style="69" customWidth="1"/>
    <col min="12060" max="12060" width="13.85546875" style="69" customWidth="1"/>
    <col min="12061" max="12061" width="12.7109375" style="69" customWidth="1"/>
    <col min="12062" max="12062" width="11.85546875" style="69" customWidth="1"/>
    <col min="12063" max="12064" width="12.85546875" style="69" customWidth="1"/>
    <col min="12065" max="12065" width="11.28515625" style="69" customWidth="1"/>
    <col min="12066" max="12066" width="10.42578125" style="69" customWidth="1"/>
    <col min="12067" max="12067" width="11.42578125" style="69" customWidth="1"/>
    <col min="12068" max="12068" width="12.28515625" style="69" customWidth="1"/>
    <col min="12069" max="12069" width="9.85546875" style="69" customWidth="1"/>
    <col min="12070" max="12070" width="12.28515625" style="69" customWidth="1"/>
    <col min="12071" max="12071" width="13.42578125" style="69" customWidth="1"/>
    <col min="12072" max="12072" width="11" style="69" customWidth="1"/>
    <col min="12073" max="12074" width="12" style="69" customWidth="1"/>
    <col min="12075" max="12075" width="11.42578125" style="69"/>
    <col min="12076" max="12076" width="8.28515625" style="69" customWidth="1"/>
    <col min="12077" max="12077" width="13" style="69" customWidth="1"/>
    <col min="12078" max="12078" width="11.140625" style="69" bestFit="1" customWidth="1"/>
    <col min="12079" max="12080" width="9.85546875" style="69" bestFit="1" customWidth="1"/>
    <col min="12081" max="12294" width="11.42578125" style="69"/>
    <col min="12295" max="12295" width="26.140625" style="69" bestFit="1" customWidth="1"/>
    <col min="12296" max="12296" width="11.42578125" style="69"/>
    <col min="12297" max="12297" width="11.140625" style="69" customWidth="1"/>
    <col min="12298" max="12298" width="10.42578125" style="69" customWidth="1"/>
    <col min="12299" max="12299" width="11.140625" style="69" customWidth="1"/>
    <col min="12300" max="12300" width="12" style="69" customWidth="1"/>
    <col min="12301" max="12301" width="11.28515625" style="69" customWidth="1"/>
    <col min="12302" max="12302" width="12.42578125" style="69" customWidth="1"/>
    <col min="12303" max="12303" width="13.42578125" style="69" customWidth="1"/>
    <col min="12304" max="12304" width="13" style="69" customWidth="1"/>
    <col min="12305" max="12305" width="10.140625" style="69" customWidth="1"/>
    <col min="12306" max="12306" width="11.7109375" style="69" customWidth="1"/>
    <col min="12307" max="12307" width="11.42578125" style="69" customWidth="1"/>
    <col min="12308" max="12308" width="9.28515625" style="69" customWidth="1"/>
    <col min="12309" max="12310" width="11.42578125" style="69" customWidth="1"/>
    <col min="12311" max="12312" width="10.42578125" style="69" customWidth="1"/>
    <col min="12313" max="12313" width="10.85546875" style="69" customWidth="1"/>
    <col min="12314" max="12314" width="12.7109375" style="69" customWidth="1"/>
    <col min="12315" max="12315" width="13.28515625" style="69" customWidth="1"/>
    <col min="12316" max="12316" width="13.85546875" style="69" customWidth="1"/>
    <col min="12317" max="12317" width="12.7109375" style="69" customWidth="1"/>
    <col min="12318" max="12318" width="11.85546875" style="69" customWidth="1"/>
    <col min="12319" max="12320" width="12.85546875" style="69" customWidth="1"/>
    <col min="12321" max="12321" width="11.28515625" style="69" customWidth="1"/>
    <col min="12322" max="12322" width="10.42578125" style="69" customWidth="1"/>
    <col min="12323" max="12323" width="11.42578125" style="69" customWidth="1"/>
    <col min="12324" max="12324" width="12.28515625" style="69" customWidth="1"/>
    <col min="12325" max="12325" width="9.85546875" style="69" customWidth="1"/>
    <col min="12326" max="12326" width="12.28515625" style="69" customWidth="1"/>
    <col min="12327" max="12327" width="13.42578125" style="69" customWidth="1"/>
    <col min="12328" max="12328" width="11" style="69" customWidth="1"/>
    <col min="12329" max="12330" width="12" style="69" customWidth="1"/>
    <col min="12331" max="12331" width="11.42578125" style="69"/>
    <col min="12332" max="12332" width="8.28515625" style="69" customWidth="1"/>
    <col min="12333" max="12333" width="13" style="69" customWidth="1"/>
    <col min="12334" max="12334" width="11.140625" style="69" bestFit="1" customWidth="1"/>
    <col min="12335" max="12336" width="9.85546875" style="69" bestFit="1" customWidth="1"/>
    <col min="12337" max="12550" width="11.42578125" style="69"/>
    <col min="12551" max="12551" width="26.140625" style="69" bestFit="1" customWidth="1"/>
    <col min="12552" max="12552" width="11.42578125" style="69"/>
    <col min="12553" max="12553" width="11.140625" style="69" customWidth="1"/>
    <col min="12554" max="12554" width="10.42578125" style="69" customWidth="1"/>
    <col min="12555" max="12555" width="11.140625" style="69" customWidth="1"/>
    <col min="12556" max="12556" width="12" style="69" customWidth="1"/>
    <col min="12557" max="12557" width="11.28515625" style="69" customWidth="1"/>
    <col min="12558" max="12558" width="12.42578125" style="69" customWidth="1"/>
    <col min="12559" max="12559" width="13.42578125" style="69" customWidth="1"/>
    <col min="12560" max="12560" width="13" style="69" customWidth="1"/>
    <col min="12561" max="12561" width="10.140625" style="69" customWidth="1"/>
    <col min="12562" max="12562" width="11.7109375" style="69" customWidth="1"/>
    <col min="12563" max="12563" width="11.42578125" style="69" customWidth="1"/>
    <col min="12564" max="12564" width="9.28515625" style="69" customWidth="1"/>
    <col min="12565" max="12566" width="11.42578125" style="69" customWidth="1"/>
    <col min="12567" max="12568" width="10.42578125" style="69" customWidth="1"/>
    <col min="12569" max="12569" width="10.85546875" style="69" customWidth="1"/>
    <col min="12570" max="12570" width="12.7109375" style="69" customWidth="1"/>
    <col min="12571" max="12571" width="13.28515625" style="69" customWidth="1"/>
    <col min="12572" max="12572" width="13.85546875" style="69" customWidth="1"/>
    <col min="12573" max="12573" width="12.7109375" style="69" customWidth="1"/>
    <col min="12574" max="12574" width="11.85546875" style="69" customWidth="1"/>
    <col min="12575" max="12576" width="12.85546875" style="69" customWidth="1"/>
    <col min="12577" max="12577" width="11.28515625" style="69" customWidth="1"/>
    <col min="12578" max="12578" width="10.42578125" style="69" customWidth="1"/>
    <col min="12579" max="12579" width="11.42578125" style="69" customWidth="1"/>
    <col min="12580" max="12580" width="12.28515625" style="69" customWidth="1"/>
    <col min="12581" max="12581" width="9.85546875" style="69" customWidth="1"/>
    <col min="12582" max="12582" width="12.28515625" style="69" customWidth="1"/>
    <col min="12583" max="12583" width="13.42578125" style="69" customWidth="1"/>
    <col min="12584" max="12584" width="11" style="69" customWidth="1"/>
    <col min="12585" max="12586" width="12" style="69" customWidth="1"/>
    <col min="12587" max="12587" width="11.42578125" style="69"/>
    <col min="12588" max="12588" width="8.28515625" style="69" customWidth="1"/>
    <col min="12589" max="12589" width="13" style="69" customWidth="1"/>
    <col min="12590" max="12590" width="11.140625" style="69" bestFit="1" customWidth="1"/>
    <col min="12591" max="12592" width="9.85546875" style="69" bestFit="1" customWidth="1"/>
    <col min="12593" max="12806" width="11.42578125" style="69"/>
    <col min="12807" max="12807" width="26.140625" style="69" bestFit="1" customWidth="1"/>
    <col min="12808" max="12808" width="11.42578125" style="69"/>
    <col min="12809" max="12809" width="11.140625" style="69" customWidth="1"/>
    <col min="12810" max="12810" width="10.42578125" style="69" customWidth="1"/>
    <col min="12811" max="12811" width="11.140625" style="69" customWidth="1"/>
    <col min="12812" max="12812" width="12" style="69" customWidth="1"/>
    <col min="12813" max="12813" width="11.28515625" style="69" customWidth="1"/>
    <col min="12814" max="12814" width="12.42578125" style="69" customWidth="1"/>
    <col min="12815" max="12815" width="13.42578125" style="69" customWidth="1"/>
    <col min="12816" max="12816" width="13" style="69" customWidth="1"/>
    <col min="12817" max="12817" width="10.140625" style="69" customWidth="1"/>
    <col min="12818" max="12818" width="11.7109375" style="69" customWidth="1"/>
    <col min="12819" max="12819" width="11.42578125" style="69" customWidth="1"/>
    <col min="12820" max="12820" width="9.28515625" style="69" customWidth="1"/>
    <col min="12821" max="12822" width="11.42578125" style="69" customWidth="1"/>
    <col min="12823" max="12824" width="10.42578125" style="69" customWidth="1"/>
    <col min="12825" max="12825" width="10.85546875" style="69" customWidth="1"/>
    <col min="12826" max="12826" width="12.7109375" style="69" customWidth="1"/>
    <col min="12827" max="12827" width="13.28515625" style="69" customWidth="1"/>
    <col min="12828" max="12828" width="13.85546875" style="69" customWidth="1"/>
    <col min="12829" max="12829" width="12.7109375" style="69" customWidth="1"/>
    <col min="12830" max="12830" width="11.85546875" style="69" customWidth="1"/>
    <col min="12831" max="12832" width="12.85546875" style="69" customWidth="1"/>
    <col min="12833" max="12833" width="11.28515625" style="69" customWidth="1"/>
    <col min="12834" max="12834" width="10.42578125" style="69" customWidth="1"/>
    <col min="12835" max="12835" width="11.42578125" style="69" customWidth="1"/>
    <col min="12836" max="12836" width="12.28515625" style="69" customWidth="1"/>
    <col min="12837" max="12837" width="9.85546875" style="69" customWidth="1"/>
    <col min="12838" max="12838" width="12.28515625" style="69" customWidth="1"/>
    <col min="12839" max="12839" width="13.42578125" style="69" customWidth="1"/>
    <col min="12840" max="12840" width="11" style="69" customWidth="1"/>
    <col min="12841" max="12842" width="12" style="69" customWidth="1"/>
    <col min="12843" max="12843" width="11.42578125" style="69"/>
    <col min="12844" max="12844" width="8.28515625" style="69" customWidth="1"/>
    <col min="12845" max="12845" width="13" style="69" customWidth="1"/>
    <col min="12846" max="12846" width="11.140625" style="69" bestFit="1" customWidth="1"/>
    <col min="12847" max="12848" width="9.85546875" style="69" bestFit="1" customWidth="1"/>
    <col min="12849" max="13062" width="11.42578125" style="69"/>
    <col min="13063" max="13063" width="26.140625" style="69" bestFit="1" customWidth="1"/>
    <col min="13064" max="13064" width="11.42578125" style="69"/>
    <col min="13065" max="13065" width="11.140625" style="69" customWidth="1"/>
    <col min="13066" max="13066" width="10.42578125" style="69" customWidth="1"/>
    <col min="13067" max="13067" width="11.140625" style="69" customWidth="1"/>
    <col min="13068" max="13068" width="12" style="69" customWidth="1"/>
    <col min="13069" max="13069" width="11.28515625" style="69" customWidth="1"/>
    <col min="13070" max="13070" width="12.42578125" style="69" customWidth="1"/>
    <col min="13071" max="13071" width="13.42578125" style="69" customWidth="1"/>
    <col min="13072" max="13072" width="13" style="69" customWidth="1"/>
    <col min="13073" max="13073" width="10.140625" style="69" customWidth="1"/>
    <col min="13074" max="13074" width="11.7109375" style="69" customWidth="1"/>
    <col min="13075" max="13075" width="11.42578125" style="69" customWidth="1"/>
    <col min="13076" max="13076" width="9.28515625" style="69" customWidth="1"/>
    <col min="13077" max="13078" width="11.42578125" style="69" customWidth="1"/>
    <col min="13079" max="13080" width="10.42578125" style="69" customWidth="1"/>
    <col min="13081" max="13081" width="10.85546875" style="69" customWidth="1"/>
    <col min="13082" max="13082" width="12.7109375" style="69" customWidth="1"/>
    <col min="13083" max="13083" width="13.28515625" style="69" customWidth="1"/>
    <col min="13084" max="13084" width="13.85546875" style="69" customWidth="1"/>
    <col min="13085" max="13085" width="12.7109375" style="69" customWidth="1"/>
    <col min="13086" max="13086" width="11.85546875" style="69" customWidth="1"/>
    <col min="13087" max="13088" width="12.85546875" style="69" customWidth="1"/>
    <col min="13089" max="13089" width="11.28515625" style="69" customWidth="1"/>
    <col min="13090" max="13090" width="10.42578125" style="69" customWidth="1"/>
    <col min="13091" max="13091" width="11.42578125" style="69" customWidth="1"/>
    <col min="13092" max="13092" width="12.28515625" style="69" customWidth="1"/>
    <col min="13093" max="13093" width="9.85546875" style="69" customWidth="1"/>
    <col min="13094" max="13094" width="12.28515625" style="69" customWidth="1"/>
    <col min="13095" max="13095" width="13.42578125" style="69" customWidth="1"/>
    <col min="13096" max="13096" width="11" style="69" customWidth="1"/>
    <col min="13097" max="13098" width="12" style="69" customWidth="1"/>
    <col min="13099" max="13099" width="11.42578125" style="69"/>
    <col min="13100" max="13100" width="8.28515625" style="69" customWidth="1"/>
    <col min="13101" max="13101" width="13" style="69" customWidth="1"/>
    <col min="13102" max="13102" width="11.140625" style="69" bestFit="1" customWidth="1"/>
    <col min="13103" max="13104" width="9.85546875" style="69" bestFit="1" customWidth="1"/>
    <col min="13105" max="13318" width="11.42578125" style="69"/>
    <col min="13319" max="13319" width="26.140625" style="69" bestFit="1" customWidth="1"/>
    <col min="13320" max="13320" width="11.42578125" style="69"/>
    <col min="13321" max="13321" width="11.140625" style="69" customWidth="1"/>
    <col min="13322" max="13322" width="10.42578125" style="69" customWidth="1"/>
    <col min="13323" max="13323" width="11.140625" style="69" customWidth="1"/>
    <col min="13324" max="13324" width="12" style="69" customWidth="1"/>
    <col min="13325" max="13325" width="11.28515625" style="69" customWidth="1"/>
    <col min="13326" max="13326" width="12.42578125" style="69" customWidth="1"/>
    <col min="13327" max="13327" width="13.42578125" style="69" customWidth="1"/>
    <col min="13328" max="13328" width="13" style="69" customWidth="1"/>
    <col min="13329" max="13329" width="10.140625" style="69" customWidth="1"/>
    <col min="13330" max="13330" width="11.7109375" style="69" customWidth="1"/>
    <col min="13331" max="13331" width="11.42578125" style="69" customWidth="1"/>
    <col min="13332" max="13332" width="9.28515625" style="69" customWidth="1"/>
    <col min="13333" max="13334" width="11.42578125" style="69" customWidth="1"/>
    <col min="13335" max="13336" width="10.42578125" style="69" customWidth="1"/>
    <col min="13337" max="13337" width="10.85546875" style="69" customWidth="1"/>
    <col min="13338" max="13338" width="12.7109375" style="69" customWidth="1"/>
    <col min="13339" max="13339" width="13.28515625" style="69" customWidth="1"/>
    <col min="13340" max="13340" width="13.85546875" style="69" customWidth="1"/>
    <col min="13341" max="13341" width="12.7109375" style="69" customWidth="1"/>
    <col min="13342" max="13342" width="11.85546875" style="69" customWidth="1"/>
    <col min="13343" max="13344" width="12.85546875" style="69" customWidth="1"/>
    <col min="13345" max="13345" width="11.28515625" style="69" customWidth="1"/>
    <col min="13346" max="13346" width="10.42578125" style="69" customWidth="1"/>
    <col min="13347" max="13347" width="11.42578125" style="69" customWidth="1"/>
    <col min="13348" max="13348" width="12.28515625" style="69" customWidth="1"/>
    <col min="13349" max="13349" width="9.85546875" style="69" customWidth="1"/>
    <col min="13350" max="13350" width="12.28515625" style="69" customWidth="1"/>
    <col min="13351" max="13351" width="13.42578125" style="69" customWidth="1"/>
    <col min="13352" max="13352" width="11" style="69" customWidth="1"/>
    <col min="13353" max="13354" width="12" style="69" customWidth="1"/>
    <col min="13355" max="13355" width="11.42578125" style="69"/>
    <col min="13356" max="13356" width="8.28515625" style="69" customWidth="1"/>
    <col min="13357" max="13357" width="13" style="69" customWidth="1"/>
    <col min="13358" max="13358" width="11.140625" style="69" bestFit="1" customWidth="1"/>
    <col min="13359" max="13360" width="9.85546875" style="69" bestFit="1" customWidth="1"/>
    <col min="13361" max="13574" width="11.42578125" style="69"/>
    <col min="13575" max="13575" width="26.140625" style="69" bestFit="1" customWidth="1"/>
    <col min="13576" max="13576" width="11.42578125" style="69"/>
    <col min="13577" max="13577" width="11.140625" style="69" customWidth="1"/>
    <col min="13578" max="13578" width="10.42578125" style="69" customWidth="1"/>
    <col min="13579" max="13579" width="11.140625" style="69" customWidth="1"/>
    <col min="13580" max="13580" width="12" style="69" customWidth="1"/>
    <col min="13581" max="13581" width="11.28515625" style="69" customWidth="1"/>
    <col min="13582" max="13582" width="12.42578125" style="69" customWidth="1"/>
    <col min="13583" max="13583" width="13.42578125" style="69" customWidth="1"/>
    <col min="13584" max="13584" width="13" style="69" customWidth="1"/>
    <col min="13585" max="13585" width="10.140625" style="69" customWidth="1"/>
    <col min="13586" max="13586" width="11.7109375" style="69" customWidth="1"/>
    <col min="13587" max="13587" width="11.42578125" style="69" customWidth="1"/>
    <col min="13588" max="13588" width="9.28515625" style="69" customWidth="1"/>
    <col min="13589" max="13590" width="11.42578125" style="69" customWidth="1"/>
    <col min="13591" max="13592" width="10.42578125" style="69" customWidth="1"/>
    <col min="13593" max="13593" width="10.85546875" style="69" customWidth="1"/>
    <col min="13594" max="13594" width="12.7109375" style="69" customWidth="1"/>
    <col min="13595" max="13595" width="13.28515625" style="69" customWidth="1"/>
    <col min="13596" max="13596" width="13.85546875" style="69" customWidth="1"/>
    <col min="13597" max="13597" width="12.7109375" style="69" customWidth="1"/>
    <col min="13598" max="13598" width="11.85546875" style="69" customWidth="1"/>
    <col min="13599" max="13600" width="12.85546875" style="69" customWidth="1"/>
    <col min="13601" max="13601" width="11.28515625" style="69" customWidth="1"/>
    <col min="13602" max="13602" width="10.42578125" style="69" customWidth="1"/>
    <col min="13603" max="13603" width="11.42578125" style="69" customWidth="1"/>
    <col min="13604" max="13604" width="12.28515625" style="69" customWidth="1"/>
    <col min="13605" max="13605" width="9.85546875" style="69" customWidth="1"/>
    <col min="13606" max="13606" width="12.28515625" style="69" customWidth="1"/>
    <col min="13607" max="13607" width="13.42578125" style="69" customWidth="1"/>
    <col min="13608" max="13608" width="11" style="69" customWidth="1"/>
    <col min="13609" max="13610" width="12" style="69" customWidth="1"/>
    <col min="13611" max="13611" width="11.42578125" style="69"/>
    <col min="13612" max="13612" width="8.28515625" style="69" customWidth="1"/>
    <col min="13613" max="13613" width="13" style="69" customWidth="1"/>
    <col min="13614" max="13614" width="11.140625" style="69" bestFit="1" customWidth="1"/>
    <col min="13615" max="13616" width="9.85546875" style="69" bestFit="1" customWidth="1"/>
    <col min="13617" max="13830" width="11.42578125" style="69"/>
    <col min="13831" max="13831" width="26.140625" style="69" bestFit="1" customWidth="1"/>
    <col min="13832" max="13832" width="11.42578125" style="69"/>
    <col min="13833" max="13833" width="11.140625" style="69" customWidth="1"/>
    <col min="13834" max="13834" width="10.42578125" style="69" customWidth="1"/>
    <col min="13835" max="13835" width="11.140625" style="69" customWidth="1"/>
    <col min="13836" max="13836" width="12" style="69" customWidth="1"/>
    <col min="13837" max="13837" width="11.28515625" style="69" customWidth="1"/>
    <col min="13838" max="13838" width="12.42578125" style="69" customWidth="1"/>
    <col min="13839" max="13839" width="13.42578125" style="69" customWidth="1"/>
    <col min="13840" max="13840" width="13" style="69" customWidth="1"/>
    <col min="13841" max="13841" width="10.140625" style="69" customWidth="1"/>
    <col min="13842" max="13842" width="11.7109375" style="69" customWidth="1"/>
    <col min="13843" max="13843" width="11.42578125" style="69" customWidth="1"/>
    <col min="13844" max="13844" width="9.28515625" style="69" customWidth="1"/>
    <col min="13845" max="13846" width="11.42578125" style="69" customWidth="1"/>
    <col min="13847" max="13848" width="10.42578125" style="69" customWidth="1"/>
    <col min="13849" max="13849" width="10.85546875" style="69" customWidth="1"/>
    <col min="13850" max="13850" width="12.7109375" style="69" customWidth="1"/>
    <col min="13851" max="13851" width="13.28515625" style="69" customWidth="1"/>
    <col min="13852" max="13852" width="13.85546875" style="69" customWidth="1"/>
    <col min="13853" max="13853" width="12.7109375" style="69" customWidth="1"/>
    <col min="13854" max="13854" width="11.85546875" style="69" customWidth="1"/>
    <col min="13855" max="13856" width="12.85546875" style="69" customWidth="1"/>
    <col min="13857" max="13857" width="11.28515625" style="69" customWidth="1"/>
    <col min="13858" max="13858" width="10.42578125" style="69" customWidth="1"/>
    <col min="13859" max="13859" width="11.42578125" style="69" customWidth="1"/>
    <col min="13860" max="13860" width="12.28515625" style="69" customWidth="1"/>
    <col min="13861" max="13861" width="9.85546875" style="69" customWidth="1"/>
    <col min="13862" max="13862" width="12.28515625" style="69" customWidth="1"/>
    <col min="13863" max="13863" width="13.42578125" style="69" customWidth="1"/>
    <col min="13864" max="13864" width="11" style="69" customWidth="1"/>
    <col min="13865" max="13866" width="12" style="69" customWidth="1"/>
    <col min="13867" max="13867" width="11.42578125" style="69"/>
    <col min="13868" max="13868" width="8.28515625" style="69" customWidth="1"/>
    <col min="13869" max="13869" width="13" style="69" customWidth="1"/>
    <col min="13870" max="13870" width="11.140625" style="69" bestFit="1" customWidth="1"/>
    <col min="13871" max="13872" width="9.85546875" style="69" bestFit="1" customWidth="1"/>
    <col min="13873" max="14086" width="11.42578125" style="69"/>
    <col min="14087" max="14087" width="26.140625" style="69" bestFit="1" customWidth="1"/>
    <col min="14088" max="14088" width="11.42578125" style="69"/>
    <col min="14089" max="14089" width="11.140625" style="69" customWidth="1"/>
    <col min="14090" max="14090" width="10.42578125" style="69" customWidth="1"/>
    <col min="14091" max="14091" width="11.140625" style="69" customWidth="1"/>
    <col min="14092" max="14092" width="12" style="69" customWidth="1"/>
    <col min="14093" max="14093" width="11.28515625" style="69" customWidth="1"/>
    <col min="14094" max="14094" width="12.42578125" style="69" customWidth="1"/>
    <col min="14095" max="14095" width="13.42578125" style="69" customWidth="1"/>
    <col min="14096" max="14096" width="13" style="69" customWidth="1"/>
    <col min="14097" max="14097" width="10.140625" style="69" customWidth="1"/>
    <col min="14098" max="14098" width="11.7109375" style="69" customWidth="1"/>
    <col min="14099" max="14099" width="11.42578125" style="69" customWidth="1"/>
    <col min="14100" max="14100" width="9.28515625" style="69" customWidth="1"/>
    <col min="14101" max="14102" width="11.42578125" style="69" customWidth="1"/>
    <col min="14103" max="14104" width="10.42578125" style="69" customWidth="1"/>
    <col min="14105" max="14105" width="10.85546875" style="69" customWidth="1"/>
    <col min="14106" max="14106" width="12.7109375" style="69" customWidth="1"/>
    <col min="14107" max="14107" width="13.28515625" style="69" customWidth="1"/>
    <col min="14108" max="14108" width="13.85546875" style="69" customWidth="1"/>
    <col min="14109" max="14109" width="12.7109375" style="69" customWidth="1"/>
    <col min="14110" max="14110" width="11.85546875" style="69" customWidth="1"/>
    <col min="14111" max="14112" width="12.85546875" style="69" customWidth="1"/>
    <col min="14113" max="14113" width="11.28515625" style="69" customWidth="1"/>
    <col min="14114" max="14114" width="10.42578125" style="69" customWidth="1"/>
    <col min="14115" max="14115" width="11.42578125" style="69" customWidth="1"/>
    <col min="14116" max="14116" width="12.28515625" style="69" customWidth="1"/>
    <col min="14117" max="14117" width="9.85546875" style="69" customWidth="1"/>
    <col min="14118" max="14118" width="12.28515625" style="69" customWidth="1"/>
    <col min="14119" max="14119" width="13.42578125" style="69" customWidth="1"/>
    <col min="14120" max="14120" width="11" style="69" customWidth="1"/>
    <col min="14121" max="14122" width="12" style="69" customWidth="1"/>
    <col min="14123" max="14123" width="11.42578125" style="69"/>
    <col min="14124" max="14124" width="8.28515625" style="69" customWidth="1"/>
    <col min="14125" max="14125" width="13" style="69" customWidth="1"/>
    <col min="14126" max="14126" width="11.140625" style="69" bestFit="1" customWidth="1"/>
    <col min="14127" max="14128" width="9.85546875" style="69" bestFit="1" customWidth="1"/>
    <col min="14129" max="14342" width="11.42578125" style="69"/>
    <col min="14343" max="14343" width="26.140625" style="69" bestFit="1" customWidth="1"/>
    <col min="14344" max="14344" width="11.42578125" style="69"/>
    <col min="14345" max="14345" width="11.140625" style="69" customWidth="1"/>
    <col min="14346" max="14346" width="10.42578125" style="69" customWidth="1"/>
    <col min="14347" max="14347" width="11.140625" style="69" customWidth="1"/>
    <col min="14348" max="14348" width="12" style="69" customWidth="1"/>
    <col min="14349" max="14349" width="11.28515625" style="69" customWidth="1"/>
    <col min="14350" max="14350" width="12.42578125" style="69" customWidth="1"/>
    <col min="14351" max="14351" width="13.42578125" style="69" customWidth="1"/>
    <col min="14352" max="14352" width="13" style="69" customWidth="1"/>
    <col min="14353" max="14353" width="10.140625" style="69" customWidth="1"/>
    <col min="14354" max="14354" width="11.7109375" style="69" customWidth="1"/>
    <col min="14355" max="14355" width="11.42578125" style="69" customWidth="1"/>
    <col min="14356" max="14356" width="9.28515625" style="69" customWidth="1"/>
    <col min="14357" max="14358" width="11.42578125" style="69" customWidth="1"/>
    <col min="14359" max="14360" width="10.42578125" style="69" customWidth="1"/>
    <col min="14361" max="14361" width="10.85546875" style="69" customWidth="1"/>
    <col min="14362" max="14362" width="12.7109375" style="69" customWidth="1"/>
    <col min="14363" max="14363" width="13.28515625" style="69" customWidth="1"/>
    <col min="14364" max="14364" width="13.85546875" style="69" customWidth="1"/>
    <col min="14365" max="14365" width="12.7109375" style="69" customWidth="1"/>
    <col min="14366" max="14366" width="11.85546875" style="69" customWidth="1"/>
    <col min="14367" max="14368" width="12.85546875" style="69" customWidth="1"/>
    <col min="14369" max="14369" width="11.28515625" style="69" customWidth="1"/>
    <col min="14370" max="14370" width="10.42578125" style="69" customWidth="1"/>
    <col min="14371" max="14371" width="11.42578125" style="69" customWidth="1"/>
    <col min="14372" max="14372" width="12.28515625" style="69" customWidth="1"/>
    <col min="14373" max="14373" width="9.85546875" style="69" customWidth="1"/>
    <col min="14374" max="14374" width="12.28515625" style="69" customWidth="1"/>
    <col min="14375" max="14375" width="13.42578125" style="69" customWidth="1"/>
    <col min="14376" max="14376" width="11" style="69" customWidth="1"/>
    <col min="14377" max="14378" width="12" style="69" customWidth="1"/>
    <col min="14379" max="14379" width="11.42578125" style="69"/>
    <col min="14380" max="14380" width="8.28515625" style="69" customWidth="1"/>
    <col min="14381" max="14381" width="13" style="69" customWidth="1"/>
    <col min="14382" max="14382" width="11.140625" style="69" bestFit="1" customWidth="1"/>
    <col min="14383" max="14384" width="9.85546875" style="69" bestFit="1" customWidth="1"/>
    <col min="14385" max="14598" width="11.42578125" style="69"/>
    <col min="14599" max="14599" width="26.140625" style="69" bestFit="1" customWidth="1"/>
    <col min="14600" max="14600" width="11.42578125" style="69"/>
    <col min="14601" max="14601" width="11.140625" style="69" customWidth="1"/>
    <col min="14602" max="14602" width="10.42578125" style="69" customWidth="1"/>
    <col min="14603" max="14603" width="11.140625" style="69" customWidth="1"/>
    <col min="14604" max="14604" width="12" style="69" customWidth="1"/>
    <col min="14605" max="14605" width="11.28515625" style="69" customWidth="1"/>
    <col min="14606" max="14606" width="12.42578125" style="69" customWidth="1"/>
    <col min="14607" max="14607" width="13.42578125" style="69" customWidth="1"/>
    <col min="14608" max="14608" width="13" style="69" customWidth="1"/>
    <col min="14609" max="14609" width="10.140625" style="69" customWidth="1"/>
    <col min="14610" max="14610" width="11.7109375" style="69" customWidth="1"/>
    <col min="14611" max="14611" width="11.42578125" style="69" customWidth="1"/>
    <col min="14612" max="14612" width="9.28515625" style="69" customWidth="1"/>
    <col min="14613" max="14614" width="11.42578125" style="69" customWidth="1"/>
    <col min="14615" max="14616" width="10.42578125" style="69" customWidth="1"/>
    <col min="14617" max="14617" width="10.85546875" style="69" customWidth="1"/>
    <col min="14618" max="14618" width="12.7109375" style="69" customWidth="1"/>
    <col min="14619" max="14619" width="13.28515625" style="69" customWidth="1"/>
    <col min="14620" max="14620" width="13.85546875" style="69" customWidth="1"/>
    <col min="14621" max="14621" width="12.7109375" style="69" customWidth="1"/>
    <col min="14622" max="14622" width="11.85546875" style="69" customWidth="1"/>
    <col min="14623" max="14624" width="12.85546875" style="69" customWidth="1"/>
    <col min="14625" max="14625" width="11.28515625" style="69" customWidth="1"/>
    <col min="14626" max="14626" width="10.42578125" style="69" customWidth="1"/>
    <col min="14627" max="14627" width="11.42578125" style="69" customWidth="1"/>
    <col min="14628" max="14628" width="12.28515625" style="69" customWidth="1"/>
    <col min="14629" max="14629" width="9.85546875" style="69" customWidth="1"/>
    <col min="14630" max="14630" width="12.28515625" style="69" customWidth="1"/>
    <col min="14631" max="14631" width="13.42578125" style="69" customWidth="1"/>
    <col min="14632" max="14632" width="11" style="69" customWidth="1"/>
    <col min="14633" max="14634" width="12" style="69" customWidth="1"/>
    <col min="14635" max="14635" width="11.42578125" style="69"/>
    <col min="14636" max="14636" width="8.28515625" style="69" customWidth="1"/>
    <col min="14637" max="14637" width="13" style="69" customWidth="1"/>
    <col min="14638" max="14638" width="11.140625" style="69" bestFit="1" customWidth="1"/>
    <col min="14639" max="14640" width="9.85546875" style="69" bestFit="1" customWidth="1"/>
    <col min="14641" max="14854" width="11.42578125" style="69"/>
    <col min="14855" max="14855" width="26.140625" style="69" bestFit="1" customWidth="1"/>
    <col min="14856" max="14856" width="11.42578125" style="69"/>
    <col min="14857" max="14857" width="11.140625" style="69" customWidth="1"/>
    <col min="14858" max="14858" width="10.42578125" style="69" customWidth="1"/>
    <col min="14859" max="14859" width="11.140625" style="69" customWidth="1"/>
    <col min="14860" max="14860" width="12" style="69" customWidth="1"/>
    <col min="14861" max="14861" width="11.28515625" style="69" customWidth="1"/>
    <col min="14862" max="14862" width="12.42578125" style="69" customWidth="1"/>
    <col min="14863" max="14863" width="13.42578125" style="69" customWidth="1"/>
    <col min="14864" max="14864" width="13" style="69" customWidth="1"/>
    <col min="14865" max="14865" width="10.140625" style="69" customWidth="1"/>
    <col min="14866" max="14866" width="11.7109375" style="69" customWidth="1"/>
    <col min="14867" max="14867" width="11.42578125" style="69" customWidth="1"/>
    <col min="14868" max="14868" width="9.28515625" style="69" customWidth="1"/>
    <col min="14869" max="14870" width="11.42578125" style="69" customWidth="1"/>
    <col min="14871" max="14872" width="10.42578125" style="69" customWidth="1"/>
    <col min="14873" max="14873" width="10.85546875" style="69" customWidth="1"/>
    <col min="14874" max="14874" width="12.7109375" style="69" customWidth="1"/>
    <col min="14875" max="14875" width="13.28515625" style="69" customWidth="1"/>
    <col min="14876" max="14876" width="13.85546875" style="69" customWidth="1"/>
    <col min="14877" max="14877" width="12.7109375" style="69" customWidth="1"/>
    <col min="14878" max="14878" width="11.85546875" style="69" customWidth="1"/>
    <col min="14879" max="14880" width="12.85546875" style="69" customWidth="1"/>
    <col min="14881" max="14881" width="11.28515625" style="69" customWidth="1"/>
    <col min="14882" max="14882" width="10.42578125" style="69" customWidth="1"/>
    <col min="14883" max="14883" width="11.42578125" style="69" customWidth="1"/>
    <col min="14884" max="14884" width="12.28515625" style="69" customWidth="1"/>
    <col min="14885" max="14885" width="9.85546875" style="69" customWidth="1"/>
    <col min="14886" max="14886" width="12.28515625" style="69" customWidth="1"/>
    <col min="14887" max="14887" width="13.42578125" style="69" customWidth="1"/>
    <col min="14888" max="14888" width="11" style="69" customWidth="1"/>
    <col min="14889" max="14890" width="12" style="69" customWidth="1"/>
    <col min="14891" max="14891" width="11.42578125" style="69"/>
    <col min="14892" max="14892" width="8.28515625" style="69" customWidth="1"/>
    <col min="14893" max="14893" width="13" style="69" customWidth="1"/>
    <col min="14894" max="14894" width="11.140625" style="69" bestFit="1" customWidth="1"/>
    <col min="14895" max="14896" width="9.85546875" style="69" bestFit="1" customWidth="1"/>
    <col min="14897" max="15110" width="11.42578125" style="69"/>
    <col min="15111" max="15111" width="26.140625" style="69" bestFit="1" customWidth="1"/>
    <col min="15112" max="15112" width="11.42578125" style="69"/>
    <col min="15113" max="15113" width="11.140625" style="69" customWidth="1"/>
    <col min="15114" max="15114" width="10.42578125" style="69" customWidth="1"/>
    <col min="15115" max="15115" width="11.140625" style="69" customWidth="1"/>
    <col min="15116" max="15116" width="12" style="69" customWidth="1"/>
    <col min="15117" max="15117" width="11.28515625" style="69" customWidth="1"/>
    <col min="15118" max="15118" width="12.42578125" style="69" customWidth="1"/>
    <col min="15119" max="15119" width="13.42578125" style="69" customWidth="1"/>
    <col min="15120" max="15120" width="13" style="69" customWidth="1"/>
    <col min="15121" max="15121" width="10.140625" style="69" customWidth="1"/>
    <col min="15122" max="15122" width="11.7109375" style="69" customWidth="1"/>
    <col min="15123" max="15123" width="11.42578125" style="69" customWidth="1"/>
    <col min="15124" max="15124" width="9.28515625" style="69" customWidth="1"/>
    <col min="15125" max="15126" width="11.42578125" style="69" customWidth="1"/>
    <col min="15127" max="15128" width="10.42578125" style="69" customWidth="1"/>
    <col min="15129" max="15129" width="10.85546875" style="69" customWidth="1"/>
    <col min="15130" max="15130" width="12.7109375" style="69" customWidth="1"/>
    <col min="15131" max="15131" width="13.28515625" style="69" customWidth="1"/>
    <col min="15132" max="15132" width="13.85546875" style="69" customWidth="1"/>
    <col min="15133" max="15133" width="12.7109375" style="69" customWidth="1"/>
    <col min="15134" max="15134" width="11.85546875" style="69" customWidth="1"/>
    <col min="15135" max="15136" width="12.85546875" style="69" customWidth="1"/>
    <col min="15137" max="15137" width="11.28515625" style="69" customWidth="1"/>
    <col min="15138" max="15138" width="10.42578125" style="69" customWidth="1"/>
    <col min="15139" max="15139" width="11.42578125" style="69" customWidth="1"/>
    <col min="15140" max="15140" width="12.28515625" style="69" customWidth="1"/>
    <col min="15141" max="15141" width="9.85546875" style="69" customWidth="1"/>
    <col min="15142" max="15142" width="12.28515625" style="69" customWidth="1"/>
    <col min="15143" max="15143" width="13.42578125" style="69" customWidth="1"/>
    <col min="15144" max="15144" width="11" style="69" customWidth="1"/>
    <col min="15145" max="15146" width="12" style="69" customWidth="1"/>
    <col min="15147" max="15147" width="11.42578125" style="69"/>
    <col min="15148" max="15148" width="8.28515625" style="69" customWidth="1"/>
    <col min="15149" max="15149" width="13" style="69" customWidth="1"/>
    <col min="15150" max="15150" width="11.140625" style="69" bestFit="1" customWidth="1"/>
    <col min="15151" max="15152" width="9.85546875" style="69" bestFit="1" customWidth="1"/>
    <col min="15153" max="15366" width="11.42578125" style="69"/>
    <col min="15367" max="15367" width="26.140625" style="69" bestFit="1" customWidth="1"/>
    <col min="15368" max="15368" width="11.42578125" style="69"/>
    <col min="15369" max="15369" width="11.140625" style="69" customWidth="1"/>
    <col min="15370" max="15370" width="10.42578125" style="69" customWidth="1"/>
    <col min="15371" max="15371" width="11.140625" style="69" customWidth="1"/>
    <col min="15372" max="15372" width="12" style="69" customWidth="1"/>
    <col min="15373" max="15373" width="11.28515625" style="69" customWidth="1"/>
    <col min="15374" max="15374" width="12.42578125" style="69" customWidth="1"/>
    <col min="15375" max="15375" width="13.42578125" style="69" customWidth="1"/>
    <col min="15376" max="15376" width="13" style="69" customWidth="1"/>
    <col min="15377" max="15377" width="10.140625" style="69" customWidth="1"/>
    <col min="15378" max="15378" width="11.7109375" style="69" customWidth="1"/>
    <col min="15379" max="15379" width="11.42578125" style="69" customWidth="1"/>
    <col min="15380" max="15380" width="9.28515625" style="69" customWidth="1"/>
    <col min="15381" max="15382" width="11.42578125" style="69" customWidth="1"/>
    <col min="15383" max="15384" width="10.42578125" style="69" customWidth="1"/>
    <col min="15385" max="15385" width="10.85546875" style="69" customWidth="1"/>
    <col min="15386" max="15386" width="12.7109375" style="69" customWidth="1"/>
    <col min="15387" max="15387" width="13.28515625" style="69" customWidth="1"/>
    <col min="15388" max="15388" width="13.85546875" style="69" customWidth="1"/>
    <col min="15389" max="15389" width="12.7109375" style="69" customWidth="1"/>
    <col min="15390" max="15390" width="11.85546875" style="69" customWidth="1"/>
    <col min="15391" max="15392" width="12.85546875" style="69" customWidth="1"/>
    <col min="15393" max="15393" width="11.28515625" style="69" customWidth="1"/>
    <col min="15394" max="15394" width="10.42578125" style="69" customWidth="1"/>
    <col min="15395" max="15395" width="11.42578125" style="69" customWidth="1"/>
    <col min="15396" max="15396" width="12.28515625" style="69" customWidth="1"/>
    <col min="15397" max="15397" width="9.85546875" style="69" customWidth="1"/>
    <col min="15398" max="15398" width="12.28515625" style="69" customWidth="1"/>
    <col min="15399" max="15399" width="13.42578125" style="69" customWidth="1"/>
    <col min="15400" max="15400" width="11" style="69" customWidth="1"/>
    <col min="15401" max="15402" width="12" style="69" customWidth="1"/>
    <col min="15403" max="15403" width="11.42578125" style="69"/>
    <col min="15404" max="15404" width="8.28515625" style="69" customWidth="1"/>
    <col min="15405" max="15405" width="13" style="69" customWidth="1"/>
    <col min="15406" max="15406" width="11.140625" style="69" bestFit="1" customWidth="1"/>
    <col min="15407" max="15408" width="9.85546875" style="69" bestFit="1" customWidth="1"/>
    <col min="15409" max="15622" width="11.42578125" style="69"/>
    <col min="15623" max="15623" width="26.140625" style="69" bestFit="1" customWidth="1"/>
    <col min="15624" max="15624" width="11.42578125" style="69"/>
    <col min="15625" max="15625" width="11.140625" style="69" customWidth="1"/>
    <col min="15626" max="15626" width="10.42578125" style="69" customWidth="1"/>
    <col min="15627" max="15627" width="11.140625" style="69" customWidth="1"/>
    <col min="15628" max="15628" width="12" style="69" customWidth="1"/>
    <col min="15629" max="15629" width="11.28515625" style="69" customWidth="1"/>
    <col min="15630" max="15630" width="12.42578125" style="69" customWidth="1"/>
    <col min="15631" max="15631" width="13.42578125" style="69" customWidth="1"/>
    <col min="15632" max="15632" width="13" style="69" customWidth="1"/>
    <col min="15633" max="15633" width="10.140625" style="69" customWidth="1"/>
    <col min="15634" max="15634" width="11.7109375" style="69" customWidth="1"/>
    <col min="15635" max="15635" width="11.42578125" style="69" customWidth="1"/>
    <col min="15636" max="15636" width="9.28515625" style="69" customWidth="1"/>
    <col min="15637" max="15638" width="11.42578125" style="69" customWidth="1"/>
    <col min="15639" max="15640" width="10.42578125" style="69" customWidth="1"/>
    <col min="15641" max="15641" width="10.85546875" style="69" customWidth="1"/>
    <col min="15642" max="15642" width="12.7109375" style="69" customWidth="1"/>
    <col min="15643" max="15643" width="13.28515625" style="69" customWidth="1"/>
    <col min="15644" max="15644" width="13.85546875" style="69" customWidth="1"/>
    <col min="15645" max="15645" width="12.7109375" style="69" customWidth="1"/>
    <col min="15646" max="15646" width="11.85546875" style="69" customWidth="1"/>
    <col min="15647" max="15648" width="12.85546875" style="69" customWidth="1"/>
    <col min="15649" max="15649" width="11.28515625" style="69" customWidth="1"/>
    <col min="15650" max="15650" width="10.42578125" style="69" customWidth="1"/>
    <col min="15651" max="15651" width="11.42578125" style="69" customWidth="1"/>
    <col min="15652" max="15652" width="12.28515625" style="69" customWidth="1"/>
    <col min="15653" max="15653" width="9.85546875" style="69" customWidth="1"/>
    <col min="15654" max="15654" width="12.28515625" style="69" customWidth="1"/>
    <col min="15655" max="15655" width="13.42578125" style="69" customWidth="1"/>
    <col min="15656" max="15656" width="11" style="69" customWidth="1"/>
    <col min="15657" max="15658" width="12" style="69" customWidth="1"/>
    <col min="15659" max="15659" width="11.42578125" style="69"/>
    <col min="15660" max="15660" width="8.28515625" style="69" customWidth="1"/>
    <col min="15661" max="15661" width="13" style="69" customWidth="1"/>
    <col min="15662" max="15662" width="11.140625" style="69" bestFit="1" customWidth="1"/>
    <col min="15663" max="15664" width="9.85546875" style="69" bestFit="1" customWidth="1"/>
    <col min="15665" max="15878" width="11.42578125" style="69"/>
    <col min="15879" max="15879" width="26.140625" style="69" bestFit="1" customWidth="1"/>
    <col min="15880" max="15880" width="11.42578125" style="69"/>
    <col min="15881" max="15881" width="11.140625" style="69" customWidth="1"/>
    <col min="15882" max="15882" width="10.42578125" style="69" customWidth="1"/>
    <col min="15883" max="15883" width="11.140625" style="69" customWidth="1"/>
    <col min="15884" max="15884" width="12" style="69" customWidth="1"/>
    <col min="15885" max="15885" width="11.28515625" style="69" customWidth="1"/>
    <col min="15886" max="15886" width="12.42578125" style="69" customWidth="1"/>
    <col min="15887" max="15887" width="13.42578125" style="69" customWidth="1"/>
    <col min="15888" max="15888" width="13" style="69" customWidth="1"/>
    <col min="15889" max="15889" width="10.140625" style="69" customWidth="1"/>
    <col min="15890" max="15890" width="11.7109375" style="69" customWidth="1"/>
    <col min="15891" max="15891" width="11.42578125" style="69" customWidth="1"/>
    <col min="15892" max="15892" width="9.28515625" style="69" customWidth="1"/>
    <col min="15893" max="15894" width="11.42578125" style="69" customWidth="1"/>
    <col min="15895" max="15896" width="10.42578125" style="69" customWidth="1"/>
    <col min="15897" max="15897" width="10.85546875" style="69" customWidth="1"/>
    <col min="15898" max="15898" width="12.7109375" style="69" customWidth="1"/>
    <col min="15899" max="15899" width="13.28515625" style="69" customWidth="1"/>
    <col min="15900" max="15900" width="13.85546875" style="69" customWidth="1"/>
    <col min="15901" max="15901" width="12.7109375" style="69" customWidth="1"/>
    <col min="15902" max="15902" width="11.85546875" style="69" customWidth="1"/>
    <col min="15903" max="15904" width="12.85546875" style="69" customWidth="1"/>
    <col min="15905" max="15905" width="11.28515625" style="69" customWidth="1"/>
    <col min="15906" max="15906" width="10.42578125" style="69" customWidth="1"/>
    <col min="15907" max="15907" width="11.42578125" style="69" customWidth="1"/>
    <col min="15908" max="15908" width="12.28515625" style="69" customWidth="1"/>
    <col min="15909" max="15909" width="9.85546875" style="69" customWidth="1"/>
    <col min="15910" max="15910" width="12.28515625" style="69" customWidth="1"/>
    <col min="15911" max="15911" width="13.42578125" style="69" customWidth="1"/>
    <col min="15912" max="15912" width="11" style="69" customWidth="1"/>
    <col min="15913" max="15914" width="12" style="69" customWidth="1"/>
    <col min="15915" max="15915" width="11.42578125" style="69"/>
    <col min="15916" max="15916" width="8.28515625" style="69" customWidth="1"/>
    <col min="15917" max="15917" width="13" style="69" customWidth="1"/>
    <col min="15918" max="15918" width="11.140625" style="69" bestFit="1" customWidth="1"/>
    <col min="15919" max="15920" width="9.85546875" style="69" bestFit="1" customWidth="1"/>
    <col min="15921" max="16134" width="11.42578125" style="69"/>
    <col min="16135" max="16135" width="26.140625" style="69" bestFit="1" customWidth="1"/>
    <col min="16136" max="16136" width="11.42578125" style="69"/>
    <col min="16137" max="16137" width="11.140625" style="69" customWidth="1"/>
    <col min="16138" max="16138" width="10.42578125" style="69" customWidth="1"/>
    <col min="16139" max="16139" width="11.140625" style="69" customWidth="1"/>
    <col min="16140" max="16140" width="12" style="69" customWidth="1"/>
    <col min="16141" max="16141" width="11.28515625" style="69" customWidth="1"/>
    <col min="16142" max="16142" width="12.42578125" style="69" customWidth="1"/>
    <col min="16143" max="16143" width="13.42578125" style="69" customWidth="1"/>
    <col min="16144" max="16144" width="13" style="69" customWidth="1"/>
    <col min="16145" max="16145" width="10.140625" style="69" customWidth="1"/>
    <col min="16146" max="16146" width="11.7109375" style="69" customWidth="1"/>
    <col min="16147" max="16147" width="11.42578125" style="69" customWidth="1"/>
    <col min="16148" max="16148" width="9.28515625" style="69" customWidth="1"/>
    <col min="16149" max="16150" width="11.42578125" style="69" customWidth="1"/>
    <col min="16151" max="16152" width="10.42578125" style="69" customWidth="1"/>
    <col min="16153" max="16153" width="10.85546875" style="69" customWidth="1"/>
    <col min="16154" max="16154" width="12.7109375" style="69" customWidth="1"/>
    <col min="16155" max="16155" width="13.28515625" style="69" customWidth="1"/>
    <col min="16156" max="16156" width="13.85546875" style="69" customWidth="1"/>
    <col min="16157" max="16157" width="12.7109375" style="69" customWidth="1"/>
    <col min="16158" max="16158" width="11.85546875" style="69" customWidth="1"/>
    <col min="16159" max="16160" width="12.85546875" style="69" customWidth="1"/>
    <col min="16161" max="16161" width="11.28515625" style="69" customWidth="1"/>
    <col min="16162" max="16162" width="10.42578125" style="69" customWidth="1"/>
    <col min="16163" max="16163" width="11.42578125" style="69" customWidth="1"/>
    <col min="16164" max="16164" width="12.28515625" style="69" customWidth="1"/>
    <col min="16165" max="16165" width="9.85546875" style="69" customWidth="1"/>
    <col min="16166" max="16166" width="12.28515625" style="69" customWidth="1"/>
    <col min="16167" max="16167" width="13.42578125" style="69" customWidth="1"/>
    <col min="16168" max="16168" width="11" style="69" customWidth="1"/>
    <col min="16169" max="16170" width="12" style="69" customWidth="1"/>
    <col min="16171" max="16171" width="11.42578125" style="69"/>
    <col min="16172" max="16172" width="8.28515625" style="69" customWidth="1"/>
    <col min="16173" max="16173" width="13" style="69" customWidth="1"/>
    <col min="16174" max="16174" width="11.140625" style="69" bestFit="1" customWidth="1"/>
    <col min="16175" max="16176" width="9.85546875" style="69" bestFit="1" customWidth="1"/>
    <col min="16177" max="16384" width="11.42578125" style="69"/>
  </cols>
  <sheetData>
    <row r="1" spans="1:48" x14ac:dyDescent="0.2">
      <c r="B1" s="55"/>
      <c r="C1" s="55"/>
    </row>
    <row r="2" spans="1:48" x14ac:dyDescent="0.2">
      <c r="A2" s="109" t="str">
        <f>+'[1]Ut.  unidad de negocio mensual'!A2:K2</f>
        <v>Sigmaseg S.A. de C.V.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</row>
    <row r="3" spans="1:48" x14ac:dyDescent="0.2">
      <c r="A3" s="109" t="s">
        <v>0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</row>
    <row r="4" spans="1:48" x14ac:dyDescent="0.2">
      <c r="A4" s="109">
        <v>45658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</row>
    <row r="5" spans="1:48" x14ac:dyDescent="0.2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</row>
    <row r="6" spans="1:48" s="75" customFormat="1" ht="24.75" customHeight="1" x14ac:dyDescent="0.2">
      <c r="A6" s="71" t="s">
        <v>1</v>
      </c>
      <c r="B6" s="71" t="s">
        <v>2</v>
      </c>
      <c r="C6" s="71" t="s">
        <v>3</v>
      </c>
      <c r="D6" s="72" t="s">
        <v>97</v>
      </c>
      <c r="E6" s="71" t="s">
        <v>4</v>
      </c>
      <c r="F6" s="71" t="s">
        <v>5</v>
      </c>
      <c r="G6" s="71" t="s">
        <v>6</v>
      </c>
      <c r="H6" s="73" t="s">
        <v>104</v>
      </c>
      <c r="I6" s="71" t="s">
        <v>74</v>
      </c>
      <c r="J6" s="71" t="s">
        <v>7</v>
      </c>
      <c r="K6" s="71" t="s">
        <v>8</v>
      </c>
      <c r="L6" s="71" t="s">
        <v>9</v>
      </c>
      <c r="M6" s="71" t="s">
        <v>10</v>
      </c>
      <c r="N6" s="71" t="s">
        <v>11</v>
      </c>
      <c r="O6" s="71"/>
      <c r="P6" s="71" t="s">
        <v>13</v>
      </c>
      <c r="Q6" s="71" t="s">
        <v>14</v>
      </c>
      <c r="R6" s="71" t="s">
        <v>15</v>
      </c>
      <c r="S6" s="71" t="s">
        <v>16</v>
      </c>
      <c r="T6" s="71" t="s">
        <v>17</v>
      </c>
      <c r="U6" s="71" t="s">
        <v>18</v>
      </c>
      <c r="V6" s="71" t="s">
        <v>19</v>
      </c>
      <c r="W6" s="71"/>
      <c r="X6" s="71"/>
      <c r="Y6" s="71"/>
      <c r="Z6" s="71" t="s">
        <v>23</v>
      </c>
      <c r="AA6" s="71" t="s">
        <v>24</v>
      </c>
      <c r="AB6" s="71" t="s">
        <v>25</v>
      </c>
      <c r="AC6" s="71" t="s">
        <v>26</v>
      </c>
      <c r="AD6" s="71" t="s">
        <v>27</v>
      </c>
      <c r="AE6" s="71" t="s">
        <v>28</v>
      </c>
      <c r="AF6" s="71" t="s">
        <v>29</v>
      </c>
      <c r="AG6" s="71"/>
      <c r="AH6" s="71" t="s">
        <v>30</v>
      </c>
      <c r="AI6" s="71" t="s">
        <v>31</v>
      </c>
      <c r="AJ6" s="71" t="s">
        <v>32</v>
      </c>
      <c r="AK6" s="71" t="s">
        <v>98</v>
      </c>
      <c r="AL6" s="71"/>
      <c r="AM6" s="74" t="s">
        <v>83</v>
      </c>
      <c r="AN6" s="73" t="s">
        <v>107</v>
      </c>
      <c r="AO6" s="74" t="s">
        <v>99</v>
      </c>
      <c r="AP6" s="74" t="s">
        <v>100</v>
      </c>
      <c r="AQ6" s="74" t="s">
        <v>101</v>
      </c>
      <c r="AR6" s="71" t="s">
        <v>77</v>
      </c>
      <c r="AS6" s="71" t="s">
        <v>88</v>
      </c>
      <c r="AT6" s="71" t="s">
        <v>33</v>
      </c>
      <c r="AU6" s="71" t="s">
        <v>34</v>
      </c>
      <c r="AV6" s="75">
        <v>7</v>
      </c>
    </row>
    <row r="7" spans="1:48" x14ac:dyDescent="0.2">
      <c r="A7" s="76" t="s">
        <v>96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</row>
    <row r="8" spans="1:48" x14ac:dyDescent="0.2">
      <c r="A8" s="76" t="s">
        <v>36</v>
      </c>
      <c r="B8" s="12">
        <v>313000</v>
      </c>
      <c r="C8" s="12">
        <v>105500</v>
      </c>
      <c r="D8" s="12"/>
      <c r="E8" s="12">
        <v>88650</v>
      </c>
      <c r="F8" s="12">
        <v>272900</v>
      </c>
      <c r="G8" s="12">
        <v>50943.6</v>
      </c>
      <c r="H8" s="12"/>
      <c r="I8" s="12">
        <v>464900</v>
      </c>
      <c r="J8" s="12">
        <v>190756.5</v>
      </c>
      <c r="K8" s="12"/>
      <c r="L8" s="12">
        <v>88299.99</v>
      </c>
      <c r="M8" s="12">
        <v>56000</v>
      </c>
      <c r="N8" s="12">
        <v>16000</v>
      </c>
      <c r="O8" s="12"/>
      <c r="P8" s="12">
        <f>90250-12000</f>
        <v>78250</v>
      </c>
      <c r="Q8" s="12">
        <f>12000+12000</f>
        <v>24000</v>
      </c>
      <c r="R8" s="12">
        <v>97750</v>
      </c>
      <c r="S8" s="12">
        <v>78500</v>
      </c>
      <c r="T8" s="12">
        <v>55750</v>
      </c>
      <c r="U8" s="12">
        <f>112500-56250</f>
        <v>56250</v>
      </c>
      <c r="V8" s="12">
        <v>54000</v>
      </c>
      <c r="W8" s="12"/>
      <c r="X8" s="12"/>
      <c r="Y8" s="12"/>
      <c r="Z8" s="12">
        <v>32000</v>
      </c>
      <c r="AA8" s="12">
        <v>38000</v>
      </c>
      <c r="AB8" s="12">
        <f>74000-37000</f>
        <v>37000</v>
      </c>
      <c r="AC8" s="12">
        <v>80805</v>
      </c>
      <c r="AD8" s="12">
        <v>38000</v>
      </c>
      <c r="AE8" s="12">
        <v>19500</v>
      </c>
      <c r="AF8" s="6">
        <f>169000-84500</f>
        <v>84500</v>
      </c>
      <c r="AG8" s="6"/>
      <c r="AH8" s="6">
        <v>252500</v>
      </c>
      <c r="AI8" s="6">
        <v>55750</v>
      </c>
      <c r="AJ8" s="6">
        <f>105762-35254</f>
        <v>70508</v>
      </c>
      <c r="AK8" s="6">
        <v>58000</v>
      </c>
      <c r="AL8" s="6"/>
      <c r="AM8" s="6">
        <v>57000</v>
      </c>
      <c r="AN8" s="6"/>
      <c r="AO8" s="6">
        <v>18500</v>
      </c>
      <c r="AP8" s="6">
        <v>232000</v>
      </c>
      <c r="AQ8" s="6">
        <v>18700</v>
      </c>
      <c r="AR8" s="6">
        <v>1450</v>
      </c>
      <c r="AS8" s="6"/>
      <c r="AT8" s="7">
        <f t="shared" ref="AT8:AT13" si="0">SUM(B8:AR8)</f>
        <v>3185663.09</v>
      </c>
      <c r="AU8" s="79">
        <f>AT8/$AT$13</f>
        <v>0.99326528588585483</v>
      </c>
    </row>
    <row r="9" spans="1:48" x14ac:dyDescent="0.2">
      <c r="A9" s="76" t="s">
        <v>93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>
        <v>21600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7">
        <f t="shared" si="0"/>
        <v>21600</v>
      </c>
      <c r="AU9" s="79">
        <f>AT9/$AT$13</f>
        <v>6.7347141141452169E-3</v>
      </c>
    </row>
    <row r="10" spans="1:48" x14ac:dyDescent="0.2">
      <c r="A10" s="7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7">
        <f t="shared" si="0"/>
        <v>0</v>
      </c>
      <c r="AU10" s="79">
        <f>AT10/$AT$13</f>
        <v>0</v>
      </c>
    </row>
    <row r="11" spans="1:48" x14ac:dyDescent="0.2">
      <c r="A11" s="7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7">
        <f t="shared" si="0"/>
        <v>0</v>
      </c>
      <c r="AU11" s="79">
        <f>AT11/$AT$13</f>
        <v>0</v>
      </c>
    </row>
    <row r="12" spans="1:48" x14ac:dyDescent="0.2">
      <c r="A12" s="76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7">
        <f t="shared" si="0"/>
        <v>0</v>
      </c>
      <c r="AU12" s="79">
        <f>AT12/$AT$13</f>
        <v>0</v>
      </c>
    </row>
    <row r="13" spans="1:48" ht="12.75" thickBot="1" x14ac:dyDescent="0.25">
      <c r="A13" s="80" t="s">
        <v>37</v>
      </c>
      <c r="B13" s="59">
        <f t="shared" ref="B13:AS13" si="1">SUM(B8:B12)</f>
        <v>313000</v>
      </c>
      <c r="C13" s="59">
        <f t="shared" si="1"/>
        <v>105500</v>
      </c>
      <c r="D13" s="59"/>
      <c r="E13" s="59">
        <f t="shared" si="1"/>
        <v>88650</v>
      </c>
      <c r="F13" s="59">
        <f t="shared" si="1"/>
        <v>272900</v>
      </c>
      <c r="G13" s="59">
        <f t="shared" si="1"/>
        <v>50943.6</v>
      </c>
      <c r="H13" s="59"/>
      <c r="I13" s="59">
        <f t="shared" si="1"/>
        <v>464900</v>
      </c>
      <c r="J13" s="59">
        <f t="shared" si="1"/>
        <v>190756.5</v>
      </c>
      <c r="K13" s="59">
        <f t="shared" si="1"/>
        <v>0</v>
      </c>
      <c r="L13" s="59">
        <f t="shared" si="1"/>
        <v>88299.99</v>
      </c>
      <c r="M13" s="59">
        <f t="shared" si="1"/>
        <v>77600</v>
      </c>
      <c r="N13" s="59">
        <f t="shared" si="1"/>
        <v>16000</v>
      </c>
      <c r="O13" s="59">
        <f t="shared" si="1"/>
        <v>0</v>
      </c>
      <c r="P13" s="59">
        <f t="shared" si="1"/>
        <v>78250</v>
      </c>
      <c r="Q13" s="59">
        <f t="shared" si="1"/>
        <v>24000</v>
      </c>
      <c r="R13" s="59">
        <f t="shared" si="1"/>
        <v>97750</v>
      </c>
      <c r="S13" s="59">
        <f t="shared" si="1"/>
        <v>78500</v>
      </c>
      <c r="T13" s="59">
        <f t="shared" si="1"/>
        <v>55750</v>
      </c>
      <c r="U13" s="59">
        <f t="shared" si="1"/>
        <v>56250</v>
      </c>
      <c r="V13" s="59">
        <f t="shared" si="1"/>
        <v>54000</v>
      </c>
      <c r="W13" s="59"/>
      <c r="X13" s="59"/>
      <c r="Y13" s="59"/>
      <c r="Z13" s="59">
        <f t="shared" si="1"/>
        <v>32000</v>
      </c>
      <c r="AA13" s="59">
        <f t="shared" si="1"/>
        <v>38000</v>
      </c>
      <c r="AB13" s="59">
        <f t="shared" si="1"/>
        <v>37000</v>
      </c>
      <c r="AC13" s="59">
        <f t="shared" si="1"/>
        <v>80805</v>
      </c>
      <c r="AD13" s="59">
        <f t="shared" si="1"/>
        <v>38000</v>
      </c>
      <c r="AE13" s="59">
        <f t="shared" si="1"/>
        <v>19500</v>
      </c>
      <c r="AF13" s="14">
        <f t="shared" si="1"/>
        <v>84500</v>
      </c>
      <c r="AG13" s="14"/>
      <c r="AH13" s="14">
        <f t="shared" si="1"/>
        <v>252500</v>
      </c>
      <c r="AI13" s="14">
        <f t="shared" si="1"/>
        <v>55750</v>
      </c>
      <c r="AJ13" s="14">
        <f t="shared" si="1"/>
        <v>70508</v>
      </c>
      <c r="AK13" s="14">
        <f t="shared" si="1"/>
        <v>58000</v>
      </c>
      <c r="AL13" s="14"/>
      <c r="AM13" s="14">
        <f t="shared" si="1"/>
        <v>57000</v>
      </c>
      <c r="AN13" s="14">
        <f t="shared" si="1"/>
        <v>0</v>
      </c>
      <c r="AO13" s="14">
        <f t="shared" si="1"/>
        <v>18500</v>
      </c>
      <c r="AP13" s="14">
        <f t="shared" si="1"/>
        <v>232000</v>
      </c>
      <c r="AQ13" s="14">
        <f t="shared" si="1"/>
        <v>18700</v>
      </c>
      <c r="AR13" s="14">
        <f t="shared" si="1"/>
        <v>1450</v>
      </c>
      <c r="AS13" s="14">
        <f t="shared" si="1"/>
        <v>0</v>
      </c>
      <c r="AT13" s="14">
        <f t="shared" si="0"/>
        <v>3207263.09</v>
      </c>
      <c r="AU13" s="81">
        <f>SUM(AU8:AU12)</f>
        <v>1</v>
      </c>
    </row>
    <row r="14" spans="1:48" ht="13.5" customHeight="1" thickTop="1" x14ac:dyDescent="0.2">
      <c r="A14" s="110" t="s">
        <v>38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</row>
    <row r="15" spans="1:48" x14ac:dyDescent="0.2">
      <c r="A15" s="76" t="s">
        <v>39</v>
      </c>
      <c r="B15" s="12">
        <v>137393.27000000002</v>
      </c>
      <c r="C15" s="12">
        <v>0</v>
      </c>
      <c r="D15" s="12"/>
      <c r="E15" s="12">
        <v>36211.56</v>
      </c>
      <c r="F15" s="12">
        <v>117594.56</v>
      </c>
      <c r="G15" s="12">
        <v>29916.32</v>
      </c>
      <c r="H15" s="12"/>
      <c r="I15" s="12">
        <v>166342.43</v>
      </c>
      <c r="J15" s="12">
        <v>96116.95</v>
      </c>
      <c r="K15" s="12">
        <v>0</v>
      </c>
      <c r="L15" s="12">
        <v>40524.32</v>
      </c>
      <c r="M15" s="12">
        <v>19099.84</v>
      </c>
      <c r="N15" s="12">
        <v>0</v>
      </c>
      <c r="O15" s="12">
        <v>0</v>
      </c>
      <c r="P15" s="12">
        <v>35414.83</v>
      </c>
      <c r="Q15" s="12">
        <v>9645</v>
      </c>
      <c r="R15" s="12">
        <v>42604.7</v>
      </c>
      <c r="S15" s="12">
        <v>39425.079999999994</v>
      </c>
      <c r="T15" s="12">
        <v>19721</v>
      </c>
      <c r="U15" s="12">
        <v>17969.34</v>
      </c>
      <c r="V15" s="12">
        <v>26340.5</v>
      </c>
      <c r="W15" s="12"/>
      <c r="X15" s="12"/>
      <c r="Y15" s="12"/>
      <c r="Z15" s="12">
        <v>9409</v>
      </c>
      <c r="AA15" s="12">
        <v>17958.09</v>
      </c>
      <c r="AB15" s="12">
        <v>19599.72</v>
      </c>
      <c r="AC15" s="12">
        <v>32755.439999999999</v>
      </c>
      <c r="AD15" s="12">
        <v>18848.18</v>
      </c>
      <c r="AE15" s="12">
        <v>9225</v>
      </c>
      <c r="AF15" s="12">
        <v>38671.69</v>
      </c>
      <c r="AG15" s="12"/>
      <c r="AH15" s="12">
        <v>92516</v>
      </c>
      <c r="AI15" s="12">
        <v>9435</v>
      </c>
      <c r="AJ15" s="12">
        <v>2285.0700000000002</v>
      </c>
      <c r="AK15" s="12">
        <v>21495.88</v>
      </c>
      <c r="AL15" s="12"/>
      <c r="AM15" s="12">
        <v>21802.5</v>
      </c>
      <c r="AN15" s="12"/>
      <c r="AO15" s="12">
        <v>6163.5</v>
      </c>
      <c r="AP15" s="12">
        <v>93736.62999999999</v>
      </c>
      <c r="AQ15" s="12">
        <v>8455</v>
      </c>
      <c r="AR15" s="12"/>
      <c r="AS15" s="12">
        <v>275461.28999999998</v>
      </c>
      <c r="AT15" s="78">
        <f>SUM(B15:AS15)</f>
        <v>1512137.6899999995</v>
      </c>
      <c r="AU15" s="79">
        <f t="shared" ref="AU15:AU43" si="2">AT15/$AT$45</f>
        <v>0.56308416384718873</v>
      </c>
      <c r="AV15" s="12"/>
    </row>
    <row r="16" spans="1:48" x14ac:dyDescent="0.2">
      <c r="A16" s="76" t="s">
        <v>40</v>
      </c>
      <c r="B16" s="12">
        <v>15490.84</v>
      </c>
      <c r="C16" s="12">
        <v>0</v>
      </c>
      <c r="D16" s="12"/>
      <c r="E16" s="12">
        <v>3994.96</v>
      </c>
      <c r="F16" s="12">
        <v>12535.75</v>
      </c>
      <c r="G16" s="12">
        <v>2995.82</v>
      </c>
      <c r="H16" s="12"/>
      <c r="I16" s="12">
        <v>21936.51</v>
      </c>
      <c r="J16" s="12">
        <v>11817.41</v>
      </c>
      <c r="K16" s="12">
        <v>0</v>
      </c>
      <c r="L16" s="12">
        <v>5238.51</v>
      </c>
      <c r="M16" s="12">
        <v>2065.5300000000002</v>
      </c>
      <c r="N16" s="12">
        <v>0</v>
      </c>
      <c r="O16" s="12">
        <v>0</v>
      </c>
      <c r="P16" s="12">
        <v>3800.7</v>
      </c>
      <c r="Q16" s="12">
        <v>989.67</v>
      </c>
      <c r="R16" s="12">
        <v>5076.54</v>
      </c>
      <c r="S16" s="12">
        <v>4071.93</v>
      </c>
      <c r="T16" s="12">
        <v>2482.9499999999998</v>
      </c>
      <c r="U16" s="12">
        <v>2308</v>
      </c>
      <c r="V16" s="12">
        <v>3038.05</v>
      </c>
      <c r="W16" s="12"/>
      <c r="X16" s="12"/>
      <c r="Y16" s="12"/>
      <c r="Z16" s="12">
        <v>990.4</v>
      </c>
      <c r="AA16" s="12">
        <v>1989.36</v>
      </c>
      <c r="AB16" s="12">
        <v>2013.88</v>
      </c>
      <c r="AC16" s="12">
        <v>4030.04</v>
      </c>
      <c r="AD16" s="12">
        <v>1980.31</v>
      </c>
      <c r="AE16" s="12">
        <v>989.91</v>
      </c>
      <c r="AF16" s="12">
        <v>4581.8</v>
      </c>
      <c r="AG16" s="12"/>
      <c r="AH16" s="12">
        <v>9650.3799999999992</v>
      </c>
      <c r="AI16" s="12">
        <v>989.91</v>
      </c>
      <c r="AJ16" s="12">
        <v>2313.09</v>
      </c>
      <c r="AK16" s="12">
        <v>287.39</v>
      </c>
      <c r="AL16" s="12"/>
      <c r="AM16" s="12">
        <v>2335.71</v>
      </c>
      <c r="AN16" s="12"/>
      <c r="AO16" s="12">
        <v>1906.52</v>
      </c>
      <c r="AP16" s="12">
        <v>11445.4</v>
      </c>
      <c r="AQ16" s="12">
        <v>994.54</v>
      </c>
      <c r="AR16" s="12"/>
      <c r="AS16" s="12">
        <v>12453.41</v>
      </c>
      <c r="AT16" s="78">
        <f t="shared" ref="AT16:AT44" si="3">SUM(B16:AS16)</f>
        <v>156795.22</v>
      </c>
      <c r="AU16" s="79">
        <f t="shared" si="2"/>
        <v>5.838681618268244E-2</v>
      </c>
      <c r="AV16" s="12"/>
    </row>
    <row r="17" spans="1:48" x14ac:dyDescent="0.2">
      <c r="A17" s="76" t="s">
        <v>41</v>
      </c>
      <c r="B17" s="12">
        <v>11200.2</v>
      </c>
      <c r="C17" s="12">
        <v>0</v>
      </c>
      <c r="D17" s="12"/>
      <c r="E17" s="12">
        <v>2926.07</v>
      </c>
      <c r="F17" s="12">
        <v>9289.0300000000007</v>
      </c>
      <c r="G17" s="12">
        <v>2197.27</v>
      </c>
      <c r="H17" s="12"/>
      <c r="I17" s="12">
        <v>16332.61</v>
      </c>
      <c r="J17" s="12">
        <v>7693.94</v>
      </c>
      <c r="K17" s="12">
        <v>0</v>
      </c>
      <c r="L17" s="12">
        <v>3720.99</v>
      </c>
      <c r="M17" s="12">
        <v>1538.54</v>
      </c>
      <c r="N17" s="12">
        <v>0</v>
      </c>
      <c r="O17" s="12">
        <v>0</v>
      </c>
      <c r="P17" s="12">
        <v>2852.88</v>
      </c>
      <c r="Q17" s="12">
        <v>731.3</v>
      </c>
      <c r="R17" s="12">
        <v>3748.61</v>
      </c>
      <c r="S17" s="12">
        <v>2926.99</v>
      </c>
      <c r="T17" s="12">
        <v>1670.42</v>
      </c>
      <c r="U17" s="12">
        <v>1549.79</v>
      </c>
      <c r="V17" s="12">
        <v>2245.71</v>
      </c>
      <c r="W17" s="12"/>
      <c r="X17" s="12"/>
      <c r="Y17" s="12"/>
      <c r="Z17" s="12">
        <v>733.82</v>
      </c>
      <c r="AA17" s="12">
        <v>1461.77</v>
      </c>
      <c r="AB17" s="12">
        <v>1545.58</v>
      </c>
      <c r="AC17" s="12">
        <v>2938.81</v>
      </c>
      <c r="AD17" s="12">
        <v>1465.97</v>
      </c>
      <c r="AE17" s="12">
        <v>732.15</v>
      </c>
      <c r="AF17" s="12">
        <v>3486.81</v>
      </c>
      <c r="AG17" s="12"/>
      <c r="AH17" s="12">
        <v>6827.89</v>
      </c>
      <c r="AI17" s="12">
        <v>732.15</v>
      </c>
      <c r="AJ17" s="12">
        <v>1633.33</v>
      </c>
      <c r="AK17" s="12">
        <v>458.32</v>
      </c>
      <c r="AL17" s="12"/>
      <c r="AM17" s="12">
        <v>1944.37</v>
      </c>
      <c r="AN17" s="12"/>
      <c r="AO17" s="12">
        <v>1347.01</v>
      </c>
      <c r="AP17" s="12">
        <v>8237.81</v>
      </c>
      <c r="AQ17" s="12">
        <v>730.47</v>
      </c>
      <c r="AR17" s="12"/>
      <c r="AS17" s="12">
        <v>13193.04</v>
      </c>
      <c r="AT17" s="78">
        <f t="shared" si="3"/>
        <v>118093.65</v>
      </c>
      <c r="AU17" s="79">
        <f t="shared" si="2"/>
        <v>4.3975270642128222E-2</v>
      </c>
      <c r="AV17" s="12"/>
    </row>
    <row r="18" spans="1:48" x14ac:dyDescent="0.2">
      <c r="A18" s="76" t="s">
        <v>42</v>
      </c>
      <c r="B18" s="12">
        <v>6592.03</v>
      </c>
      <c r="C18" s="12">
        <v>0</v>
      </c>
      <c r="D18" s="12"/>
      <c r="E18" s="12">
        <v>1735.1</v>
      </c>
      <c r="F18" s="12">
        <v>5477.6</v>
      </c>
      <c r="G18" s="12">
        <v>1302.93</v>
      </c>
      <c r="H18" s="12"/>
      <c r="I18" s="12">
        <v>9677.18</v>
      </c>
      <c r="J18" s="12">
        <v>4590.3500000000004</v>
      </c>
      <c r="K18" s="12">
        <v>0</v>
      </c>
      <c r="L18" s="12">
        <v>2206.46</v>
      </c>
      <c r="M18" s="12">
        <v>912.32</v>
      </c>
      <c r="N18" s="12">
        <v>0</v>
      </c>
      <c r="O18" s="12">
        <v>0</v>
      </c>
      <c r="P18" s="12">
        <v>1691.69</v>
      </c>
      <c r="Q18" s="12">
        <v>433.64</v>
      </c>
      <c r="R18" s="12">
        <v>2215.27</v>
      </c>
      <c r="S18" s="12">
        <v>1735.63</v>
      </c>
      <c r="T18" s="12">
        <v>990.53</v>
      </c>
      <c r="U18" s="12">
        <v>918.99</v>
      </c>
      <c r="V18" s="12">
        <v>1331.65</v>
      </c>
      <c r="W18" s="12"/>
      <c r="X18" s="12"/>
      <c r="Y18" s="12"/>
      <c r="Z18" s="12">
        <v>435.14</v>
      </c>
      <c r="AA18" s="12">
        <v>866.79</v>
      </c>
      <c r="AB18" s="12">
        <v>916.5</v>
      </c>
      <c r="AC18" s="12">
        <v>1742.65</v>
      </c>
      <c r="AD18" s="12">
        <v>869.29</v>
      </c>
      <c r="AE18" s="12">
        <v>434.15</v>
      </c>
      <c r="AF18" s="12">
        <v>2067.6</v>
      </c>
      <c r="AG18" s="12"/>
      <c r="AH18" s="12">
        <v>4048.78</v>
      </c>
      <c r="AI18" s="12">
        <v>434.15</v>
      </c>
      <c r="AJ18" s="12">
        <v>968.53</v>
      </c>
      <c r="AK18" s="12">
        <v>271.77999999999997</v>
      </c>
      <c r="AL18" s="12"/>
      <c r="AM18" s="12">
        <v>1152.97</v>
      </c>
      <c r="AN18" s="12"/>
      <c r="AO18" s="12">
        <v>798.75</v>
      </c>
      <c r="AP18" s="12">
        <v>4877.12</v>
      </c>
      <c r="AQ18" s="12">
        <v>433.15</v>
      </c>
      <c r="AR18" s="12"/>
      <c r="AS18" s="12">
        <v>7499.76</v>
      </c>
      <c r="AT18" s="78">
        <f t="shared" si="3"/>
        <v>69628.479999999996</v>
      </c>
      <c r="AU18" s="79">
        <f t="shared" si="2"/>
        <v>2.5927992338284165E-2</v>
      </c>
      <c r="AV18" s="12"/>
    </row>
    <row r="19" spans="1:48" x14ac:dyDescent="0.2">
      <c r="A19" s="76" t="s">
        <v>43</v>
      </c>
      <c r="B19" s="12">
        <v>5118.16</v>
      </c>
      <c r="C19" s="12">
        <v>0</v>
      </c>
      <c r="D19" s="12"/>
      <c r="E19" s="12">
        <v>1348.95</v>
      </c>
      <c r="F19" s="12">
        <v>4380.62</v>
      </c>
      <c r="G19" s="12">
        <v>1114.44</v>
      </c>
      <c r="H19" s="12"/>
      <c r="I19" s="12">
        <v>6196.57</v>
      </c>
      <c r="J19" s="12">
        <v>3580.54</v>
      </c>
      <c r="K19" s="12">
        <v>0</v>
      </c>
      <c r="L19" s="12">
        <v>1509.61</v>
      </c>
      <c r="M19" s="12">
        <v>711.51</v>
      </c>
      <c r="N19" s="12">
        <v>0</v>
      </c>
      <c r="O19" s="12"/>
      <c r="P19" s="12">
        <v>1319.27</v>
      </c>
      <c r="Q19" s="12">
        <v>359.29</v>
      </c>
      <c r="R19" s="12">
        <v>1587.11</v>
      </c>
      <c r="S19" s="12">
        <v>1468.66</v>
      </c>
      <c r="T19" s="12">
        <v>734.64</v>
      </c>
      <c r="U19" s="12">
        <v>669.39</v>
      </c>
      <c r="V19" s="12">
        <v>981.23</v>
      </c>
      <c r="W19" s="12"/>
      <c r="X19" s="12"/>
      <c r="Y19" s="12"/>
      <c r="Z19" s="12">
        <v>350.5</v>
      </c>
      <c r="AA19" s="12">
        <v>668.97</v>
      </c>
      <c r="AB19" s="12">
        <v>730.13</v>
      </c>
      <c r="AC19" s="12">
        <v>1220.2</v>
      </c>
      <c r="AD19" s="12">
        <v>702.13</v>
      </c>
      <c r="AE19" s="12">
        <v>343.65</v>
      </c>
      <c r="AF19" s="12">
        <v>1440.59</v>
      </c>
      <c r="AG19" s="12"/>
      <c r="AH19" s="12">
        <v>3446.4</v>
      </c>
      <c r="AI19" s="12">
        <v>351.47</v>
      </c>
      <c r="AJ19" s="12">
        <v>85.12</v>
      </c>
      <c r="AK19" s="12">
        <v>800.76</v>
      </c>
      <c r="AL19" s="12"/>
      <c r="AM19" s="12">
        <v>812.18</v>
      </c>
      <c r="AN19" s="12"/>
      <c r="AO19" s="12">
        <v>229.6</v>
      </c>
      <c r="AP19" s="12">
        <v>3491.87</v>
      </c>
      <c r="AQ19" s="12">
        <v>314.95999999999998</v>
      </c>
      <c r="AR19" s="12"/>
      <c r="AS19" s="12">
        <v>10261.34</v>
      </c>
      <c r="AT19" s="78">
        <f t="shared" si="3"/>
        <v>56329.86</v>
      </c>
      <c r="AU19" s="79">
        <f t="shared" si="2"/>
        <v>2.097590208053687E-2</v>
      </c>
      <c r="AV19" s="12"/>
    </row>
    <row r="20" spans="1:48" x14ac:dyDescent="0.2">
      <c r="A20" s="76" t="s">
        <v>44</v>
      </c>
      <c r="B20" s="12">
        <v>0</v>
      </c>
      <c r="C20" s="12">
        <v>0</v>
      </c>
      <c r="D20" s="12"/>
      <c r="E20" s="12">
        <v>0</v>
      </c>
      <c r="F20" s="12">
        <v>0</v>
      </c>
      <c r="G20" s="12">
        <v>0</v>
      </c>
      <c r="H20" s="12"/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/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/>
      <c r="X20" s="12"/>
      <c r="Y20" s="12"/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/>
      <c r="AH20" s="12">
        <v>0</v>
      </c>
      <c r="AI20" s="12">
        <v>0</v>
      </c>
      <c r="AJ20" s="12">
        <v>0</v>
      </c>
      <c r="AK20" s="12">
        <v>0</v>
      </c>
      <c r="AL20" s="12"/>
      <c r="AM20" s="12">
        <v>0</v>
      </c>
      <c r="AN20" s="12"/>
      <c r="AO20" s="12">
        <v>0</v>
      </c>
      <c r="AP20" s="12">
        <v>0</v>
      </c>
      <c r="AQ20" s="12">
        <v>0</v>
      </c>
      <c r="AR20" s="12"/>
      <c r="AS20" s="12">
        <v>1847</v>
      </c>
      <c r="AT20" s="78">
        <f t="shared" si="3"/>
        <v>1847</v>
      </c>
      <c r="AU20" s="79">
        <f t="shared" si="2"/>
        <v>6.8777893541279171E-4</v>
      </c>
      <c r="AV20" s="12"/>
    </row>
    <row r="21" spans="1:48" x14ac:dyDescent="0.2">
      <c r="A21" s="76" t="s">
        <v>45</v>
      </c>
      <c r="B21" s="12">
        <v>0</v>
      </c>
      <c r="C21" s="12">
        <v>0</v>
      </c>
      <c r="D21" s="12"/>
      <c r="E21" s="12">
        <v>0</v>
      </c>
      <c r="F21" s="12">
        <v>0</v>
      </c>
      <c r="G21" s="12">
        <v>0</v>
      </c>
      <c r="H21" s="12"/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/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/>
      <c r="X21" s="12"/>
      <c r="Y21" s="12"/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/>
      <c r="AH21" s="12">
        <v>0</v>
      </c>
      <c r="AI21" s="12">
        <v>0</v>
      </c>
      <c r="AJ21" s="12">
        <v>0</v>
      </c>
      <c r="AK21" s="12">
        <v>0</v>
      </c>
      <c r="AL21" s="12"/>
      <c r="AM21" s="12">
        <v>0</v>
      </c>
      <c r="AN21" s="12"/>
      <c r="AO21" s="12">
        <v>0</v>
      </c>
      <c r="AP21" s="12">
        <v>0</v>
      </c>
      <c r="AQ21" s="12">
        <v>0</v>
      </c>
      <c r="AR21" s="12"/>
      <c r="AS21" s="12">
        <v>22066</v>
      </c>
      <c r="AT21" s="78">
        <f t="shared" si="3"/>
        <v>22066</v>
      </c>
      <c r="AU21" s="79">
        <f t="shared" si="2"/>
        <v>8.216854352365275E-3</v>
      </c>
      <c r="AV21" s="12"/>
    </row>
    <row r="22" spans="1:48" x14ac:dyDescent="0.2">
      <c r="A22" s="76" t="s">
        <v>46</v>
      </c>
      <c r="B22" s="12">
        <v>0</v>
      </c>
      <c r="C22" s="12">
        <v>0</v>
      </c>
      <c r="D22" s="12"/>
      <c r="E22" s="12">
        <v>0</v>
      </c>
      <c r="F22" s="12">
        <v>0</v>
      </c>
      <c r="G22" s="12">
        <v>0</v>
      </c>
      <c r="H22" s="12"/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/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/>
      <c r="X22" s="12"/>
      <c r="Y22" s="12"/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/>
      <c r="AH22" s="12">
        <v>0</v>
      </c>
      <c r="AI22" s="12">
        <v>0</v>
      </c>
      <c r="AJ22" s="12">
        <v>0</v>
      </c>
      <c r="AK22" s="12">
        <v>0</v>
      </c>
      <c r="AL22" s="12"/>
      <c r="AM22" s="12">
        <v>800</v>
      </c>
      <c r="AN22" s="12"/>
      <c r="AO22" s="12">
        <v>0</v>
      </c>
      <c r="AP22" s="12">
        <v>0</v>
      </c>
      <c r="AQ22" s="12">
        <v>0</v>
      </c>
      <c r="AR22" s="12"/>
      <c r="AS22" s="12">
        <v>0</v>
      </c>
      <c r="AT22" s="78">
        <f t="shared" si="3"/>
        <v>800</v>
      </c>
      <c r="AU22" s="79">
        <f t="shared" si="2"/>
        <v>2.9790100072021294E-4</v>
      </c>
      <c r="AV22" s="12"/>
    </row>
    <row r="23" spans="1:48" x14ac:dyDescent="0.2">
      <c r="A23" s="76" t="s">
        <v>47</v>
      </c>
      <c r="B23" s="12">
        <v>0</v>
      </c>
      <c r="C23" s="12">
        <v>0</v>
      </c>
      <c r="D23" s="12"/>
      <c r="E23" s="12">
        <v>0</v>
      </c>
      <c r="F23" s="12">
        <v>0</v>
      </c>
      <c r="G23" s="12">
        <v>0</v>
      </c>
      <c r="H23" s="12"/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/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/>
      <c r="X23" s="12"/>
      <c r="Y23" s="12"/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/>
      <c r="AH23" s="12">
        <v>0</v>
      </c>
      <c r="AI23" s="12">
        <v>0</v>
      </c>
      <c r="AJ23" s="12">
        <v>0</v>
      </c>
      <c r="AK23" s="12">
        <v>0</v>
      </c>
      <c r="AL23" s="12"/>
      <c r="AM23" s="12">
        <v>0</v>
      </c>
      <c r="AN23" s="12"/>
      <c r="AO23" s="12">
        <v>0</v>
      </c>
      <c r="AP23" s="12">
        <v>0</v>
      </c>
      <c r="AQ23" s="12">
        <v>0</v>
      </c>
      <c r="AR23" s="12"/>
      <c r="AS23" s="12">
        <v>1293</v>
      </c>
      <c r="AT23" s="78">
        <f t="shared" si="3"/>
        <v>1293</v>
      </c>
      <c r="AU23" s="79">
        <f t="shared" si="2"/>
        <v>4.814824924140442E-4</v>
      </c>
      <c r="AV23" s="12"/>
    </row>
    <row r="24" spans="1:48" x14ac:dyDescent="0.2">
      <c r="A24" s="76" t="s">
        <v>48</v>
      </c>
      <c r="B24" s="12">
        <v>0</v>
      </c>
      <c r="C24" s="12">
        <v>0</v>
      </c>
      <c r="D24" s="12"/>
      <c r="E24" s="12">
        <v>0</v>
      </c>
      <c r="F24" s="12">
        <v>0</v>
      </c>
      <c r="G24" s="12">
        <v>0</v>
      </c>
      <c r="H24" s="12"/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/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/>
      <c r="X24" s="12"/>
      <c r="Y24" s="12"/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/>
      <c r="AH24" s="12">
        <v>0</v>
      </c>
      <c r="AI24" s="12">
        <v>0</v>
      </c>
      <c r="AJ24" s="12">
        <v>0</v>
      </c>
      <c r="AK24" s="12">
        <v>0</v>
      </c>
      <c r="AL24" s="12"/>
      <c r="AM24" s="12">
        <v>0</v>
      </c>
      <c r="AN24" s="12"/>
      <c r="AO24" s="12">
        <v>0</v>
      </c>
      <c r="AP24" s="12">
        <v>0</v>
      </c>
      <c r="AQ24" s="12">
        <v>0</v>
      </c>
      <c r="AR24" s="12"/>
      <c r="AS24" s="12">
        <v>687.94</v>
      </c>
      <c r="AT24" s="78">
        <f t="shared" si="3"/>
        <v>687.94</v>
      </c>
      <c r="AU24" s="79">
        <f t="shared" si="2"/>
        <v>2.5617251804432915E-4</v>
      </c>
      <c r="AV24" s="12"/>
    </row>
    <row r="25" spans="1:48" x14ac:dyDescent="0.2">
      <c r="A25" s="76" t="s">
        <v>49</v>
      </c>
      <c r="B25" s="12">
        <v>226.05</v>
      </c>
      <c r="C25" s="12">
        <v>279.94</v>
      </c>
      <c r="D25" s="12"/>
      <c r="E25" s="12">
        <v>49.78</v>
      </c>
      <c r="F25" s="12">
        <v>289.69</v>
      </c>
      <c r="G25" s="12">
        <v>96.83</v>
      </c>
      <c r="H25" s="12"/>
      <c r="I25" s="12">
        <v>560.99</v>
      </c>
      <c r="J25" s="12">
        <v>48.4</v>
      </c>
      <c r="K25" s="12">
        <v>0</v>
      </c>
      <c r="L25" s="12">
        <v>65.709999999999994</v>
      </c>
      <c r="M25" s="12">
        <v>92.46</v>
      </c>
      <c r="N25" s="12">
        <v>0</v>
      </c>
      <c r="O25" s="12"/>
      <c r="P25" s="12">
        <v>331.14</v>
      </c>
      <c r="Q25" s="12">
        <v>65.599999999999994</v>
      </c>
      <c r="R25" s="12">
        <v>243.82</v>
      </c>
      <c r="S25" s="12">
        <v>305.13</v>
      </c>
      <c r="T25" s="12">
        <v>318.22000000000003</v>
      </c>
      <c r="U25" s="12">
        <v>379.45</v>
      </c>
      <c r="V25" s="12">
        <v>279.01</v>
      </c>
      <c r="W25" s="12"/>
      <c r="X25" s="12"/>
      <c r="Y25" s="12"/>
      <c r="Z25" s="12">
        <v>0</v>
      </c>
      <c r="AA25" s="12">
        <v>353.43</v>
      </c>
      <c r="AB25" s="12">
        <v>95.22</v>
      </c>
      <c r="AC25" s="12">
        <v>337.91</v>
      </c>
      <c r="AD25" s="12">
        <v>8.8000000000000007</v>
      </c>
      <c r="AE25" s="12">
        <v>0</v>
      </c>
      <c r="AF25" s="12">
        <v>243.82</v>
      </c>
      <c r="AG25" s="12"/>
      <c r="AH25" s="12">
        <v>170.26</v>
      </c>
      <c r="AI25" s="12">
        <v>264.01</v>
      </c>
      <c r="AJ25" s="12">
        <v>0</v>
      </c>
      <c r="AK25" s="12">
        <v>338.16</v>
      </c>
      <c r="AL25" s="12"/>
      <c r="AM25" s="12">
        <v>0</v>
      </c>
      <c r="AN25" s="12"/>
      <c r="AO25" s="12">
        <v>0</v>
      </c>
      <c r="AP25" s="12">
        <v>248.92</v>
      </c>
      <c r="AQ25" s="12">
        <v>0</v>
      </c>
      <c r="AR25" s="12"/>
      <c r="AS25" s="12">
        <v>187.52</v>
      </c>
      <c r="AT25" s="78">
        <f t="shared" si="3"/>
        <v>5880.27</v>
      </c>
      <c r="AU25" s="79">
        <f t="shared" si="2"/>
        <v>2.1896728968813085E-3</v>
      </c>
      <c r="AV25" s="12"/>
    </row>
    <row r="26" spans="1:48" x14ac:dyDescent="0.2">
      <c r="A26" s="76" t="s">
        <v>50</v>
      </c>
      <c r="B26" s="12">
        <v>0</v>
      </c>
      <c r="C26" s="12">
        <v>0</v>
      </c>
      <c r="D26" s="12"/>
      <c r="E26" s="12">
        <v>0</v>
      </c>
      <c r="F26" s="12">
        <v>0</v>
      </c>
      <c r="G26" s="12">
        <v>0</v>
      </c>
      <c r="H26" s="12"/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/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/>
      <c r="X26" s="12"/>
      <c r="Y26" s="12"/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/>
      <c r="AH26" s="12">
        <v>0</v>
      </c>
      <c r="AI26" s="12">
        <v>0</v>
      </c>
      <c r="AJ26" s="12">
        <v>0</v>
      </c>
      <c r="AK26" s="12">
        <v>0</v>
      </c>
      <c r="AL26" s="12"/>
      <c r="AM26" s="12">
        <v>0</v>
      </c>
      <c r="AN26" s="12"/>
      <c r="AO26" s="12">
        <v>0</v>
      </c>
      <c r="AP26" s="12">
        <v>0</v>
      </c>
      <c r="AQ26" s="12">
        <v>0</v>
      </c>
      <c r="AR26" s="12"/>
      <c r="AS26" s="12">
        <v>43426.74</v>
      </c>
      <c r="AT26" s="78">
        <f t="shared" si="3"/>
        <v>43426.74</v>
      </c>
      <c r="AU26" s="79">
        <f t="shared" si="2"/>
        <v>1.6171086630020627E-2</v>
      </c>
      <c r="AV26" s="12"/>
    </row>
    <row r="27" spans="1:48" x14ac:dyDescent="0.2">
      <c r="A27" s="76" t="s">
        <v>51</v>
      </c>
      <c r="B27" s="12">
        <v>0</v>
      </c>
      <c r="C27" s="12">
        <v>0</v>
      </c>
      <c r="D27" s="12"/>
      <c r="E27" s="12">
        <v>0</v>
      </c>
      <c r="F27" s="12">
        <v>0</v>
      </c>
      <c r="G27" s="12">
        <v>0</v>
      </c>
      <c r="H27" s="12"/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/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/>
      <c r="X27" s="12"/>
      <c r="Y27" s="12"/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/>
      <c r="AH27" s="12">
        <v>0</v>
      </c>
      <c r="AI27" s="12">
        <v>0</v>
      </c>
      <c r="AJ27" s="12">
        <v>0</v>
      </c>
      <c r="AK27" s="12">
        <v>0</v>
      </c>
      <c r="AL27" s="12"/>
      <c r="AM27" s="12">
        <v>0</v>
      </c>
      <c r="AN27" s="12"/>
      <c r="AO27" s="12">
        <v>0</v>
      </c>
      <c r="AP27" s="12">
        <v>0</v>
      </c>
      <c r="AQ27" s="12">
        <v>0</v>
      </c>
      <c r="AR27" s="12"/>
      <c r="AS27" s="12">
        <v>0</v>
      </c>
      <c r="AT27" s="78">
        <f t="shared" si="3"/>
        <v>0</v>
      </c>
      <c r="AU27" s="79">
        <f t="shared" si="2"/>
        <v>0</v>
      </c>
      <c r="AV27" s="12"/>
    </row>
    <row r="28" spans="1:48" x14ac:dyDescent="0.2">
      <c r="A28" s="76" t="s">
        <v>52</v>
      </c>
      <c r="B28" s="12">
        <v>0</v>
      </c>
      <c r="C28" s="12">
        <v>0</v>
      </c>
      <c r="D28" s="12"/>
      <c r="E28" s="12">
        <v>0</v>
      </c>
      <c r="F28" s="12">
        <v>0</v>
      </c>
      <c r="G28" s="12">
        <v>0</v>
      </c>
      <c r="H28" s="12"/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/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/>
      <c r="X28" s="12"/>
      <c r="Y28" s="12"/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/>
      <c r="AH28" s="12">
        <v>0</v>
      </c>
      <c r="AI28" s="12">
        <v>0</v>
      </c>
      <c r="AJ28" s="12">
        <v>0</v>
      </c>
      <c r="AK28" s="12">
        <v>0</v>
      </c>
      <c r="AL28" s="12"/>
      <c r="AM28" s="12">
        <v>0</v>
      </c>
      <c r="AN28" s="12"/>
      <c r="AO28" s="12">
        <v>0</v>
      </c>
      <c r="AP28" s="12">
        <v>0</v>
      </c>
      <c r="AQ28" s="12">
        <v>0</v>
      </c>
      <c r="AR28" s="12"/>
      <c r="AS28" s="12">
        <v>0</v>
      </c>
      <c r="AT28" s="78">
        <f t="shared" si="3"/>
        <v>0</v>
      </c>
      <c r="AU28" s="79">
        <f t="shared" si="2"/>
        <v>0</v>
      </c>
      <c r="AV28" s="12"/>
    </row>
    <row r="29" spans="1:48" x14ac:dyDescent="0.2">
      <c r="A29" s="76" t="s">
        <v>53</v>
      </c>
      <c r="B29" s="12">
        <v>0</v>
      </c>
      <c r="C29" s="12">
        <v>0</v>
      </c>
      <c r="D29" s="12"/>
      <c r="E29" s="12">
        <v>0</v>
      </c>
      <c r="F29" s="12">
        <v>0</v>
      </c>
      <c r="G29" s="12">
        <v>0</v>
      </c>
      <c r="H29" s="12"/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/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/>
      <c r="X29" s="12"/>
      <c r="Y29" s="12"/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/>
      <c r="AH29" s="12">
        <v>0</v>
      </c>
      <c r="AI29" s="12">
        <v>0</v>
      </c>
      <c r="AJ29" s="12">
        <v>0</v>
      </c>
      <c r="AK29" s="12">
        <v>0</v>
      </c>
      <c r="AL29" s="12"/>
      <c r="AM29" s="12">
        <v>0</v>
      </c>
      <c r="AN29" s="12"/>
      <c r="AO29" s="12">
        <v>0</v>
      </c>
      <c r="AP29" s="12">
        <v>0</v>
      </c>
      <c r="AQ29" s="12">
        <v>0</v>
      </c>
      <c r="AR29" s="12"/>
      <c r="AS29" s="12">
        <v>220.58</v>
      </c>
      <c r="AT29" s="78">
        <f t="shared" si="3"/>
        <v>220.58</v>
      </c>
      <c r="AU29" s="79">
        <f t="shared" si="2"/>
        <v>8.2138753423580731E-5</v>
      </c>
      <c r="AV29" s="12"/>
    </row>
    <row r="30" spans="1:48" x14ac:dyDescent="0.2">
      <c r="A30" s="76" t="s">
        <v>54</v>
      </c>
      <c r="B30" s="12">
        <v>0</v>
      </c>
      <c r="C30" s="12">
        <v>0</v>
      </c>
      <c r="D30" s="12"/>
      <c r="E30" s="12">
        <v>0</v>
      </c>
      <c r="F30" s="12">
        <v>0</v>
      </c>
      <c r="G30" s="12">
        <v>0</v>
      </c>
      <c r="H30" s="12"/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/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/>
      <c r="X30" s="12"/>
      <c r="Y30" s="12"/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/>
      <c r="AH30" s="12">
        <v>0</v>
      </c>
      <c r="AI30" s="12">
        <v>0</v>
      </c>
      <c r="AJ30" s="12">
        <v>0</v>
      </c>
      <c r="AK30" s="12">
        <v>0</v>
      </c>
      <c r="AL30" s="12"/>
      <c r="AM30" s="12">
        <v>0</v>
      </c>
      <c r="AN30" s="12"/>
      <c r="AO30" s="12">
        <v>0</v>
      </c>
      <c r="AP30" s="12">
        <v>0</v>
      </c>
      <c r="AQ30" s="12">
        <v>0</v>
      </c>
      <c r="AR30" s="12"/>
      <c r="AS30" s="12">
        <v>0</v>
      </c>
      <c r="AT30" s="78">
        <f t="shared" si="3"/>
        <v>0</v>
      </c>
      <c r="AU30" s="79">
        <f t="shared" si="2"/>
        <v>0</v>
      </c>
      <c r="AV30" s="12"/>
    </row>
    <row r="31" spans="1:48" x14ac:dyDescent="0.2">
      <c r="A31" s="76" t="s">
        <v>55</v>
      </c>
      <c r="B31" s="12">
        <v>0</v>
      </c>
      <c r="C31" s="12">
        <v>0</v>
      </c>
      <c r="D31" s="12"/>
      <c r="E31" s="12">
        <v>0</v>
      </c>
      <c r="F31" s="12">
        <v>0</v>
      </c>
      <c r="G31" s="12">
        <v>0</v>
      </c>
      <c r="H31" s="12"/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/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/>
      <c r="X31" s="12"/>
      <c r="Y31" s="12"/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/>
      <c r="AH31" s="12">
        <v>0</v>
      </c>
      <c r="AI31" s="12">
        <v>0</v>
      </c>
      <c r="AJ31" s="12">
        <v>0</v>
      </c>
      <c r="AK31" s="12">
        <v>0</v>
      </c>
      <c r="AL31" s="12"/>
      <c r="AM31" s="12">
        <v>0</v>
      </c>
      <c r="AN31" s="12"/>
      <c r="AO31" s="12">
        <v>0</v>
      </c>
      <c r="AP31" s="12">
        <v>0</v>
      </c>
      <c r="AQ31" s="12">
        <v>0</v>
      </c>
      <c r="AR31" s="12"/>
      <c r="AS31" s="12">
        <v>18703.14</v>
      </c>
      <c r="AT31" s="78">
        <f t="shared" si="3"/>
        <v>18703.14</v>
      </c>
      <c r="AU31" s="79">
        <f t="shared" si="2"/>
        <v>6.9646051532628048E-3</v>
      </c>
      <c r="AV31" s="12"/>
    </row>
    <row r="32" spans="1:48" x14ac:dyDescent="0.2">
      <c r="A32" s="76" t="s">
        <v>56</v>
      </c>
      <c r="B32" s="12">
        <v>0</v>
      </c>
      <c r="C32" s="12">
        <v>0</v>
      </c>
      <c r="D32" s="12"/>
      <c r="E32" s="12">
        <v>0</v>
      </c>
      <c r="F32" s="12">
        <v>0</v>
      </c>
      <c r="G32" s="12">
        <v>0</v>
      </c>
      <c r="H32" s="12"/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/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/>
      <c r="X32" s="12"/>
      <c r="Y32" s="12"/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/>
      <c r="AH32" s="12">
        <v>0</v>
      </c>
      <c r="AI32" s="12">
        <v>0</v>
      </c>
      <c r="AJ32" s="12">
        <v>0</v>
      </c>
      <c r="AK32" s="12">
        <v>0</v>
      </c>
      <c r="AL32" s="12"/>
      <c r="AM32" s="12">
        <v>0</v>
      </c>
      <c r="AN32" s="12"/>
      <c r="AO32" s="12">
        <v>0</v>
      </c>
      <c r="AP32" s="12">
        <v>0</v>
      </c>
      <c r="AQ32" s="12">
        <v>0</v>
      </c>
      <c r="AR32" s="12"/>
      <c r="AS32" s="12">
        <v>0</v>
      </c>
      <c r="AT32" s="78">
        <f t="shared" si="3"/>
        <v>0</v>
      </c>
      <c r="AU32" s="79">
        <f t="shared" si="2"/>
        <v>0</v>
      </c>
      <c r="AV32" s="12"/>
    </row>
    <row r="33" spans="1:48" x14ac:dyDescent="0.2">
      <c r="A33" s="76" t="s">
        <v>102</v>
      </c>
      <c r="B33" s="12">
        <v>0</v>
      </c>
      <c r="C33" s="12">
        <v>0</v>
      </c>
      <c r="D33" s="12"/>
      <c r="E33" s="12">
        <v>0</v>
      </c>
      <c r="F33" s="12">
        <v>0</v>
      </c>
      <c r="G33" s="12">
        <v>0</v>
      </c>
      <c r="H33" s="12"/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/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/>
      <c r="X33" s="12"/>
      <c r="Y33" s="12"/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/>
      <c r="AH33" s="12">
        <v>0</v>
      </c>
      <c r="AI33" s="12">
        <v>0</v>
      </c>
      <c r="AJ33" s="12">
        <v>0</v>
      </c>
      <c r="AK33" s="12">
        <v>0</v>
      </c>
      <c r="AL33" s="12"/>
      <c r="AM33" s="12">
        <v>0</v>
      </c>
      <c r="AN33" s="12"/>
      <c r="AO33" s="12">
        <v>0</v>
      </c>
      <c r="AP33" s="12">
        <v>0</v>
      </c>
      <c r="AQ33" s="12">
        <v>0</v>
      </c>
      <c r="AR33" s="12"/>
      <c r="AS33" s="12">
        <v>5000</v>
      </c>
      <c r="AT33" s="78">
        <f t="shared" si="3"/>
        <v>5000</v>
      </c>
      <c r="AU33" s="79">
        <f t="shared" si="2"/>
        <v>1.8618812545013312E-3</v>
      </c>
      <c r="AV33" s="12"/>
    </row>
    <row r="34" spans="1:48" x14ac:dyDescent="0.2">
      <c r="A34" s="76" t="s">
        <v>57</v>
      </c>
      <c r="B34" s="12">
        <v>0</v>
      </c>
      <c r="C34" s="12">
        <v>0</v>
      </c>
      <c r="D34" s="12"/>
      <c r="E34" s="12">
        <v>0</v>
      </c>
      <c r="F34" s="12">
        <v>0</v>
      </c>
      <c r="G34" s="12">
        <v>0</v>
      </c>
      <c r="H34" s="12"/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/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/>
      <c r="X34" s="12"/>
      <c r="Y34" s="12"/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/>
      <c r="AH34" s="12">
        <v>0</v>
      </c>
      <c r="AI34" s="12">
        <v>0</v>
      </c>
      <c r="AJ34" s="12">
        <v>0</v>
      </c>
      <c r="AK34" s="12">
        <v>0</v>
      </c>
      <c r="AL34" s="12"/>
      <c r="AM34" s="12">
        <v>0</v>
      </c>
      <c r="AN34" s="12"/>
      <c r="AO34" s="12">
        <v>0</v>
      </c>
      <c r="AP34" s="12">
        <v>2180.5</v>
      </c>
      <c r="AQ34" s="12">
        <v>0</v>
      </c>
      <c r="AR34" s="12"/>
      <c r="AS34" s="12">
        <v>12677.54</v>
      </c>
      <c r="AT34" s="78">
        <f t="shared" si="3"/>
        <v>14858.04</v>
      </c>
      <c r="AU34" s="79">
        <f t="shared" si="2"/>
        <v>5.5327812309261919E-3</v>
      </c>
      <c r="AV34" s="12"/>
    </row>
    <row r="35" spans="1:48" x14ac:dyDescent="0.2">
      <c r="A35" s="76" t="s">
        <v>58</v>
      </c>
      <c r="B35" s="12">
        <v>0</v>
      </c>
      <c r="C35" s="12">
        <v>0</v>
      </c>
      <c r="D35" s="12"/>
      <c r="E35" s="12">
        <v>0</v>
      </c>
      <c r="F35" s="12">
        <v>0</v>
      </c>
      <c r="G35" s="12">
        <v>0</v>
      </c>
      <c r="H35" s="12"/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/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/>
      <c r="X35" s="12"/>
      <c r="Y35" s="12"/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/>
      <c r="AH35" s="12">
        <v>0</v>
      </c>
      <c r="AI35" s="12">
        <v>0</v>
      </c>
      <c r="AJ35" s="12">
        <v>0</v>
      </c>
      <c r="AK35" s="12">
        <v>0</v>
      </c>
      <c r="AL35" s="12"/>
      <c r="AM35" s="12">
        <v>0</v>
      </c>
      <c r="AN35" s="12"/>
      <c r="AO35" s="12">
        <v>0</v>
      </c>
      <c r="AP35" s="12">
        <v>0</v>
      </c>
      <c r="AQ35" s="12">
        <v>0</v>
      </c>
      <c r="AR35" s="12"/>
      <c r="AS35" s="12">
        <v>0</v>
      </c>
      <c r="AT35" s="78">
        <f t="shared" si="3"/>
        <v>0</v>
      </c>
      <c r="AU35" s="79">
        <f t="shared" si="2"/>
        <v>0</v>
      </c>
      <c r="AV35" s="12"/>
    </row>
    <row r="36" spans="1:48" x14ac:dyDescent="0.2">
      <c r="A36" s="76" t="s">
        <v>59</v>
      </c>
      <c r="B36" s="12">
        <v>0</v>
      </c>
      <c r="C36" s="12">
        <v>0</v>
      </c>
      <c r="D36" s="12"/>
      <c r="E36" s="12">
        <v>0</v>
      </c>
      <c r="F36" s="12">
        <v>0</v>
      </c>
      <c r="G36" s="12">
        <v>0</v>
      </c>
      <c r="H36" s="12"/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/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/>
      <c r="X36" s="12"/>
      <c r="Y36" s="12"/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/>
      <c r="AH36" s="12">
        <v>0</v>
      </c>
      <c r="AI36" s="12">
        <v>0</v>
      </c>
      <c r="AJ36" s="12">
        <v>0</v>
      </c>
      <c r="AK36" s="12">
        <v>0</v>
      </c>
      <c r="AL36" s="12"/>
      <c r="AM36" s="12">
        <v>0</v>
      </c>
      <c r="AN36" s="12"/>
      <c r="AO36" s="12">
        <v>0</v>
      </c>
      <c r="AP36" s="12">
        <v>0</v>
      </c>
      <c r="AQ36" s="12">
        <v>0</v>
      </c>
      <c r="AR36" s="12"/>
      <c r="AS36" s="12">
        <v>0</v>
      </c>
      <c r="AT36" s="78">
        <f t="shared" si="3"/>
        <v>0</v>
      </c>
      <c r="AU36" s="79">
        <f t="shared" si="2"/>
        <v>0</v>
      </c>
      <c r="AV36" s="12"/>
    </row>
    <row r="37" spans="1:48" x14ac:dyDescent="0.2">
      <c r="A37" s="76" t="s">
        <v>60</v>
      </c>
      <c r="B37" s="12">
        <v>0</v>
      </c>
      <c r="C37" s="12">
        <v>0</v>
      </c>
      <c r="D37" s="12"/>
      <c r="E37" s="12">
        <v>0</v>
      </c>
      <c r="F37" s="12">
        <v>0</v>
      </c>
      <c r="G37" s="12">
        <v>0</v>
      </c>
      <c r="H37" s="12"/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/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/>
      <c r="X37" s="12"/>
      <c r="Y37" s="12"/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/>
      <c r="AH37" s="12">
        <v>0</v>
      </c>
      <c r="AI37" s="12">
        <v>0</v>
      </c>
      <c r="AJ37" s="12">
        <v>0</v>
      </c>
      <c r="AK37" s="12">
        <v>0</v>
      </c>
      <c r="AL37" s="12"/>
      <c r="AM37" s="12">
        <v>0</v>
      </c>
      <c r="AN37" s="12"/>
      <c r="AO37" s="12">
        <v>0</v>
      </c>
      <c r="AP37" s="12">
        <v>0</v>
      </c>
      <c r="AQ37" s="12">
        <v>0</v>
      </c>
      <c r="AR37" s="12"/>
      <c r="AS37" s="12">
        <v>18400</v>
      </c>
      <c r="AT37" s="78">
        <f t="shared" si="3"/>
        <v>18400</v>
      </c>
      <c r="AU37" s="79">
        <f t="shared" si="2"/>
        <v>6.8517230165648984E-3</v>
      </c>
      <c r="AV37" s="12"/>
    </row>
    <row r="38" spans="1:48" x14ac:dyDescent="0.2">
      <c r="A38" s="76" t="s">
        <v>61</v>
      </c>
      <c r="B38" s="12">
        <v>0</v>
      </c>
      <c r="C38" s="12">
        <v>0</v>
      </c>
      <c r="D38" s="12"/>
      <c r="E38" s="12">
        <v>0</v>
      </c>
      <c r="F38" s="12">
        <v>0</v>
      </c>
      <c r="G38" s="12">
        <v>0</v>
      </c>
      <c r="H38" s="12"/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/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/>
      <c r="X38" s="12"/>
      <c r="Y38" s="12"/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/>
      <c r="AH38" s="12">
        <v>0</v>
      </c>
      <c r="AI38" s="12">
        <v>0</v>
      </c>
      <c r="AJ38" s="12">
        <v>0</v>
      </c>
      <c r="AK38" s="12">
        <v>0</v>
      </c>
      <c r="AL38" s="12"/>
      <c r="AM38" s="12">
        <v>0</v>
      </c>
      <c r="AN38" s="12"/>
      <c r="AO38" s="12">
        <v>0</v>
      </c>
      <c r="AP38" s="12">
        <v>0</v>
      </c>
      <c r="AQ38" s="12">
        <v>0</v>
      </c>
      <c r="AR38" s="12"/>
      <c r="AS38" s="12">
        <v>0</v>
      </c>
      <c r="AT38" s="78">
        <f t="shared" si="3"/>
        <v>0</v>
      </c>
      <c r="AU38" s="79">
        <f t="shared" si="2"/>
        <v>0</v>
      </c>
      <c r="AV38" s="12"/>
    </row>
    <row r="39" spans="1:48" x14ac:dyDescent="0.2">
      <c r="A39" s="76" t="s">
        <v>105</v>
      </c>
      <c r="B39" s="12">
        <v>0</v>
      </c>
      <c r="C39" s="12">
        <v>0</v>
      </c>
      <c r="D39" s="12"/>
      <c r="E39" s="12">
        <v>0</v>
      </c>
      <c r="F39" s="12">
        <v>0</v>
      </c>
      <c r="G39" s="12">
        <v>0</v>
      </c>
      <c r="H39" s="12"/>
      <c r="I39" s="12">
        <v>4930</v>
      </c>
      <c r="J39" s="12">
        <v>877</v>
      </c>
      <c r="K39" s="12">
        <v>0</v>
      </c>
      <c r="L39" s="12">
        <v>0</v>
      </c>
      <c r="M39" s="12">
        <v>0</v>
      </c>
      <c r="N39" s="12">
        <v>0</v>
      </c>
      <c r="O39" s="12"/>
      <c r="P39" s="12">
        <v>0</v>
      </c>
      <c r="Q39" s="12">
        <v>0</v>
      </c>
      <c r="R39" s="12">
        <v>3197.5</v>
      </c>
      <c r="S39" s="12">
        <v>0</v>
      </c>
      <c r="T39" s="12">
        <v>0</v>
      </c>
      <c r="U39" s="12">
        <v>0</v>
      </c>
      <c r="V39" s="12">
        <v>0</v>
      </c>
      <c r="W39" s="12"/>
      <c r="X39" s="12"/>
      <c r="Y39" s="12"/>
      <c r="Z39" s="12">
        <v>0</v>
      </c>
      <c r="AA39" s="12">
        <v>0</v>
      </c>
      <c r="AB39" s="12">
        <v>0</v>
      </c>
      <c r="AC39" s="12">
        <v>1827</v>
      </c>
      <c r="AD39" s="12">
        <v>0</v>
      </c>
      <c r="AE39" s="12">
        <v>0</v>
      </c>
      <c r="AF39" s="12">
        <v>0</v>
      </c>
      <c r="AG39" s="12"/>
      <c r="AH39" s="12">
        <v>0</v>
      </c>
      <c r="AI39" s="12">
        <v>0</v>
      </c>
      <c r="AJ39" s="12">
        <v>250</v>
      </c>
      <c r="AK39" s="12">
        <v>0</v>
      </c>
      <c r="AL39" s="12"/>
      <c r="AM39" s="12">
        <v>0</v>
      </c>
      <c r="AN39" s="12"/>
      <c r="AO39" s="12">
        <v>0</v>
      </c>
      <c r="AP39" s="12">
        <v>0</v>
      </c>
      <c r="AQ39" s="12">
        <v>0</v>
      </c>
      <c r="AR39" s="12"/>
      <c r="AS39" s="12">
        <v>2676.73</v>
      </c>
      <c r="AT39" s="78">
        <f t="shared" si="3"/>
        <v>13758.23</v>
      </c>
      <c r="AU39" s="79">
        <f t="shared" si="2"/>
        <v>5.1232381064235692E-3</v>
      </c>
      <c r="AV39" s="12"/>
    </row>
    <row r="40" spans="1:48" x14ac:dyDescent="0.2">
      <c r="A40" s="76" t="s">
        <v>62</v>
      </c>
      <c r="B40" s="12">
        <v>0</v>
      </c>
      <c r="C40" s="12">
        <v>0</v>
      </c>
      <c r="D40" s="12"/>
      <c r="E40" s="12">
        <v>0</v>
      </c>
      <c r="F40" s="12">
        <v>0</v>
      </c>
      <c r="G40" s="12">
        <v>0</v>
      </c>
      <c r="H40" s="12"/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/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/>
      <c r="X40" s="12"/>
      <c r="Y40" s="12"/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/>
      <c r="AH40" s="12">
        <v>0</v>
      </c>
      <c r="AI40" s="12">
        <v>0</v>
      </c>
      <c r="AJ40" s="12">
        <v>0</v>
      </c>
      <c r="AK40" s="12">
        <v>0</v>
      </c>
      <c r="AL40" s="12"/>
      <c r="AM40" s="12">
        <v>0</v>
      </c>
      <c r="AN40" s="12"/>
      <c r="AO40" s="12">
        <v>0</v>
      </c>
      <c r="AP40" s="12">
        <v>0</v>
      </c>
      <c r="AQ40" s="12">
        <v>0</v>
      </c>
      <c r="AR40" s="12"/>
      <c r="AS40" s="12">
        <v>540000</v>
      </c>
      <c r="AT40" s="78">
        <f t="shared" si="3"/>
        <v>540000</v>
      </c>
      <c r="AU40" s="79">
        <f t="shared" si="2"/>
        <v>0.20108317548614377</v>
      </c>
      <c r="AV40" s="12"/>
    </row>
    <row r="41" spans="1:48" x14ac:dyDescent="0.2">
      <c r="A41" s="76" t="s">
        <v>63</v>
      </c>
      <c r="B41" s="12">
        <v>0</v>
      </c>
      <c r="C41" s="12">
        <v>0</v>
      </c>
      <c r="D41" s="12"/>
      <c r="E41" s="12">
        <v>0</v>
      </c>
      <c r="F41" s="12">
        <v>0</v>
      </c>
      <c r="G41" s="12">
        <v>0</v>
      </c>
      <c r="H41" s="12"/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/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/>
      <c r="X41" s="12"/>
      <c r="Y41" s="12"/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/>
      <c r="AH41" s="12">
        <v>0</v>
      </c>
      <c r="AI41" s="12">
        <v>0</v>
      </c>
      <c r="AJ41" s="12">
        <v>0</v>
      </c>
      <c r="AK41" s="12">
        <v>0</v>
      </c>
      <c r="AL41" s="12"/>
      <c r="AM41" s="12">
        <v>0</v>
      </c>
      <c r="AN41" s="12"/>
      <c r="AO41" s="12">
        <v>0</v>
      </c>
      <c r="AP41" s="12">
        <v>0</v>
      </c>
      <c r="AQ41" s="12">
        <v>0</v>
      </c>
      <c r="AR41" s="12"/>
      <c r="AS41" s="12">
        <v>248</v>
      </c>
      <c r="AT41" s="78">
        <f>SUM(B41:AS41)</f>
        <v>248</v>
      </c>
      <c r="AU41" s="79">
        <f t="shared" si="2"/>
        <v>9.2349310223266014E-5</v>
      </c>
      <c r="AV41" s="12"/>
    </row>
    <row r="42" spans="1:48" x14ac:dyDescent="0.2">
      <c r="A42" s="76" t="s">
        <v>65</v>
      </c>
      <c r="B42" s="12">
        <v>93.88</v>
      </c>
      <c r="C42" s="12">
        <v>0</v>
      </c>
      <c r="D42" s="12"/>
      <c r="E42" s="12">
        <v>177.62</v>
      </c>
      <c r="F42" s="12">
        <v>30.43</v>
      </c>
      <c r="G42" s="12">
        <v>157.72999999999999</v>
      </c>
      <c r="H42" s="12"/>
      <c r="I42" s="12">
        <v>157.41</v>
      </c>
      <c r="J42" s="12">
        <v>126.38</v>
      </c>
      <c r="K42" s="12">
        <v>30.41</v>
      </c>
      <c r="L42" s="12">
        <v>153.91</v>
      </c>
      <c r="M42" s="12">
        <v>155.58000000000001</v>
      </c>
      <c r="N42" s="12">
        <v>0</v>
      </c>
      <c r="O42" s="12"/>
      <c r="P42" s="12">
        <v>91.29</v>
      </c>
      <c r="Q42" s="12">
        <v>30.43</v>
      </c>
      <c r="R42" s="12">
        <v>103.62</v>
      </c>
      <c r="S42" s="12">
        <v>219.43</v>
      </c>
      <c r="T42" s="12">
        <v>121.7</v>
      </c>
      <c r="U42" s="12">
        <v>0</v>
      </c>
      <c r="V42" s="12">
        <v>61.47</v>
      </c>
      <c r="W42" s="12"/>
      <c r="X42" s="12"/>
      <c r="Y42" s="12"/>
      <c r="Z42" s="12">
        <v>30.43</v>
      </c>
      <c r="AA42" s="12">
        <v>54.57</v>
      </c>
      <c r="AB42" s="12">
        <v>181.87</v>
      </c>
      <c r="AC42" s="12">
        <v>155.75</v>
      </c>
      <c r="AD42" s="12">
        <v>82.39</v>
      </c>
      <c r="AE42" s="12">
        <v>0</v>
      </c>
      <c r="AF42" s="12">
        <v>128.68</v>
      </c>
      <c r="AG42" s="12"/>
      <c r="AH42" s="12">
        <v>246.9</v>
      </c>
      <c r="AI42" s="12">
        <v>230.32</v>
      </c>
      <c r="AJ42" s="12">
        <v>0</v>
      </c>
      <c r="AK42" s="12">
        <v>131.44</v>
      </c>
      <c r="AL42" s="12"/>
      <c r="AM42" s="12">
        <v>0</v>
      </c>
      <c r="AN42" s="12"/>
      <c r="AO42" s="12">
        <v>129.25</v>
      </c>
      <c r="AP42" s="12">
        <v>145.26</v>
      </c>
      <c r="AQ42" s="12">
        <v>0</v>
      </c>
      <c r="AR42" s="12"/>
      <c r="AS42" s="12">
        <v>117.64</v>
      </c>
      <c r="AT42" s="78">
        <f t="shared" si="3"/>
        <v>3345.7900000000004</v>
      </c>
      <c r="AU42" s="79">
        <f t="shared" si="2"/>
        <v>1.2458927364996019E-3</v>
      </c>
      <c r="AV42" s="12"/>
    </row>
    <row r="43" spans="1:48" x14ac:dyDescent="0.2">
      <c r="A43" s="76" t="s">
        <v>64</v>
      </c>
      <c r="B43" s="12">
        <v>0</v>
      </c>
      <c r="C43" s="12">
        <v>0</v>
      </c>
      <c r="D43" s="12"/>
      <c r="E43" s="12">
        <v>0</v>
      </c>
      <c r="F43" s="12">
        <v>0</v>
      </c>
      <c r="G43" s="12">
        <v>0</v>
      </c>
      <c r="H43" s="12"/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/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/>
      <c r="X43" s="12"/>
      <c r="Y43" s="12"/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/>
      <c r="AH43" s="12">
        <v>0</v>
      </c>
      <c r="AI43" s="12">
        <v>0</v>
      </c>
      <c r="AJ43" s="12">
        <v>0</v>
      </c>
      <c r="AK43" s="12">
        <v>0</v>
      </c>
      <c r="AL43" s="12"/>
      <c r="AM43" s="12">
        <v>0</v>
      </c>
      <c r="AN43" s="12"/>
      <c r="AO43" s="12">
        <v>0</v>
      </c>
      <c r="AP43" s="12">
        <v>0</v>
      </c>
      <c r="AQ43" s="12">
        <v>0</v>
      </c>
      <c r="AR43" s="12"/>
      <c r="AS43" s="12">
        <v>76503.7</v>
      </c>
      <c r="AT43" s="78">
        <f t="shared" si="3"/>
        <v>76503.7</v>
      </c>
      <c r="AU43" s="79">
        <f t="shared" si="2"/>
        <v>2.8488160985998694E-2</v>
      </c>
      <c r="AV43" s="12"/>
    </row>
    <row r="44" spans="1:48" x14ac:dyDescent="0.2">
      <c r="A44" s="76" t="s">
        <v>66</v>
      </c>
      <c r="B44" s="12">
        <v>580</v>
      </c>
      <c r="C44" s="12">
        <v>0</v>
      </c>
      <c r="D44" s="12"/>
      <c r="E44" s="12">
        <v>0</v>
      </c>
      <c r="F44" s="12">
        <v>0</v>
      </c>
      <c r="G44" s="12">
        <v>0</v>
      </c>
      <c r="H44" s="12"/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/>
      <c r="P44" s="12">
        <v>0</v>
      </c>
      <c r="Q44" s="12">
        <v>0</v>
      </c>
      <c r="R44" s="12">
        <v>0</v>
      </c>
      <c r="S44" s="12">
        <v>0</v>
      </c>
      <c r="T44" s="12">
        <v>30</v>
      </c>
      <c r="U44" s="12">
        <v>0</v>
      </c>
      <c r="V44" s="12">
        <v>0</v>
      </c>
      <c r="W44" s="12"/>
      <c r="X44" s="12"/>
      <c r="Y44" s="12"/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300</v>
      </c>
      <c r="AG44" s="12"/>
      <c r="AH44" s="12">
        <v>170</v>
      </c>
      <c r="AI44" s="12">
        <v>50</v>
      </c>
      <c r="AJ44" s="12">
        <v>0</v>
      </c>
      <c r="AK44" s="12">
        <v>0</v>
      </c>
      <c r="AL44" s="12"/>
      <c r="AM44" s="12">
        <v>0</v>
      </c>
      <c r="AN44" s="12"/>
      <c r="AO44" s="12">
        <v>0</v>
      </c>
      <c r="AP44" s="12">
        <v>700</v>
      </c>
      <c r="AQ44" s="12">
        <v>138</v>
      </c>
      <c r="AR44" s="12"/>
      <c r="AS44" s="12">
        <v>3464.57</v>
      </c>
      <c r="AT44" s="78">
        <f t="shared" si="3"/>
        <v>5432.57</v>
      </c>
      <c r="AU44" s="78">
        <f>AT44/$AT$45</f>
        <v>2.0229600493532592E-3</v>
      </c>
    </row>
    <row r="45" spans="1:48" ht="12.75" thickBot="1" x14ac:dyDescent="0.25">
      <c r="A45" s="80" t="s">
        <v>67</v>
      </c>
      <c r="B45" s="59">
        <f t="shared" ref="B45:AS45" si="4">SUM(B15:B44)</f>
        <v>176694.43000000002</v>
      </c>
      <c r="C45" s="59">
        <f t="shared" si="4"/>
        <v>279.94</v>
      </c>
      <c r="D45" s="59"/>
      <c r="E45" s="59">
        <f t="shared" si="4"/>
        <v>46444.039999999994</v>
      </c>
      <c r="F45" s="59">
        <f t="shared" si="4"/>
        <v>149597.68</v>
      </c>
      <c r="G45" s="59">
        <f t="shared" si="4"/>
        <v>37781.340000000004</v>
      </c>
      <c r="H45" s="59"/>
      <c r="I45" s="59">
        <f t="shared" si="4"/>
        <v>226133.69999999998</v>
      </c>
      <c r="J45" s="59">
        <f t="shared" si="4"/>
        <v>124850.97</v>
      </c>
      <c r="K45" s="59">
        <f t="shared" si="4"/>
        <v>30.41</v>
      </c>
      <c r="L45" s="59">
        <f t="shared" si="4"/>
        <v>53419.51</v>
      </c>
      <c r="M45" s="59">
        <f t="shared" si="4"/>
        <v>24575.78</v>
      </c>
      <c r="N45" s="59">
        <f t="shared" si="4"/>
        <v>0</v>
      </c>
      <c r="O45" s="59"/>
      <c r="P45" s="59">
        <f t="shared" si="4"/>
        <v>45501.799999999996</v>
      </c>
      <c r="Q45" s="59">
        <f t="shared" si="4"/>
        <v>12254.93</v>
      </c>
      <c r="R45" s="59">
        <f t="shared" si="4"/>
        <v>58777.17</v>
      </c>
      <c r="S45" s="59">
        <f t="shared" si="4"/>
        <v>50152.849999999991</v>
      </c>
      <c r="T45" s="59">
        <f t="shared" si="4"/>
        <v>26069.460000000003</v>
      </c>
      <c r="U45" s="59">
        <f t="shared" si="4"/>
        <v>23794.960000000003</v>
      </c>
      <c r="V45" s="59">
        <f t="shared" si="4"/>
        <v>34277.620000000003</v>
      </c>
      <c r="W45" s="59"/>
      <c r="X45" s="59"/>
      <c r="Y45" s="59"/>
      <c r="Z45" s="59">
        <f t="shared" si="4"/>
        <v>11949.289999999999</v>
      </c>
      <c r="AA45" s="59">
        <f t="shared" si="4"/>
        <v>23352.980000000003</v>
      </c>
      <c r="AB45" s="59">
        <f t="shared" si="4"/>
        <v>25082.9</v>
      </c>
      <c r="AC45" s="59">
        <f t="shared" si="4"/>
        <v>45007.799999999996</v>
      </c>
      <c r="AD45" s="59">
        <f t="shared" si="4"/>
        <v>23957.070000000003</v>
      </c>
      <c r="AE45" s="59">
        <f t="shared" si="4"/>
        <v>11724.859999999999</v>
      </c>
      <c r="AF45" s="59">
        <f t="shared" si="4"/>
        <v>50920.99</v>
      </c>
      <c r="AG45" s="59"/>
      <c r="AH45" s="59">
        <f t="shared" si="4"/>
        <v>117076.60999999999</v>
      </c>
      <c r="AI45" s="59">
        <f t="shared" si="4"/>
        <v>12487.009999999998</v>
      </c>
      <c r="AJ45" s="59">
        <f t="shared" si="4"/>
        <v>7535.1399999999994</v>
      </c>
      <c r="AK45" s="59">
        <f t="shared" si="4"/>
        <v>23783.729999999996</v>
      </c>
      <c r="AL45" s="59"/>
      <c r="AM45" s="59">
        <f t="shared" si="4"/>
        <v>28847.73</v>
      </c>
      <c r="AN45" s="59"/>
      <c r="AO45" s="59">
        <f t="shared" si="4"/>
        <v>10574.630000000001</v>
      </c>
      <c r="AP45" s="59">
        <f t="shared" si="4"/>
        <v>125063.50999999997</v>
      </c>
      <c r="AQ45" s="59">
        <f t="shared" si="4"/>
        <v>11066.119999999999</v>
      </c>
      <c r="AR45" s="59">
        <f t="shared" si="4"/>
        <v>0</v>
      </c>
      <c r="AS45" s="59">
        <f t="shared" si="4"/>
        <v>1066388.9400000002</v>
      </c>
      <c r="AT45" s="59">
        <f>SUM(AT15:AT44)</f>
        <v>2685455.8999999994</v>
      </c>
      <c r="AU45" s="81">
        <f>SUM(AU15:AU44)</f>
        <v>1.0000000000000002</v>
      </c>
    </row>
    <row r="46" spans="1:48" ht="12.75" thickTop="1" x14ac:dyDescent="0.2">
      <c r="A46" s="76"/>
      <c r="B46" s="76"/>
      <c r="C46" s="76"/>
      <c r="D46" s="76" t="s">
        <v>68</v>
      </c>
      <c r="E46" s="76" t="s">
        <v>68</v>
      </c>
      <c r="F46" s="76" t="s">
        <v>68</v>
      </c>
      <c r="G46" s="76" t="s">
        <v>68</v>
      </c>
      <c r="H46" s="76" t="s">
        <v>68</v>
      </c>
      <c r="I46" s="76" t="s">
        <v>68</v>
      </c>
      <c r="J46" s="76" t="s">
        <v>68</v>
      </c>
      <c r="K46" s="76" t="s">
        <v>68</v>
      </c>
      <c r="L46" s="76" t="s">
        <v>68</v>
      </c>
      <c r="M46" s="76" t="s">
        <v>68</v>
      </c>
      <c r="N46" s="76" t="s">
        <v>68</v>
      </c>
      <c r="O46" s="76" t="s">
        <v>68</v>
      </c>
      <c r="P46" s="76" t="s">
        <v>68</v>
      </c>
      <c r="Q46" s="76" t="s">
        <v>68</v>
      </c>
      <c r="R46" s="76" t="s">
        <v>68</v>
      </c>
      <c r="S46" s="76" t="s">
        <v>68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8"/>
      <c r="AU46" s="76"/>
    </row>
    <row r="47" spans="1:48" ht="12.75" thickBot="1" x14ac:dyDescent="0.25">
      <c r="A47" s="80" t="s">
        <v>69</v>
      </c>
      <c r="B47" s="59">
        <f t="shared" ref="B47:AS47" si="5">+B13-B45</f>
        <v>136305.56999999998</v>
      </c>
      <c r="C47" s="59">
        <f t="shared" si="5"/>
        <v>105220.06</v>
      </c>
      <c r="D47" s="59"/>
      <c r="E47" s="59">
        <f t="shared" si="5"/>
        <v>42205.960000000006</v>
      </c>
      <c r="F47" s="59">
        <f t="shared" si="5"/>
        <v>123302.32</v>
      </c>
      <c r="G47" s="59">
        <f t="shared" si="5"/>
        <v>13162.259999999995</v>
      </c>
      <c r="H47" s="59"/>
      <c r="I47" s="59">
        <f t="shared" si="5"/>
        <v>238766.30000000002</v>
      </c>
      <c r="J47" s="59">
        <f t="shared" si="5"/>
        <v>65905.53</v>
      </c>
      <c r="K47" s="59">
        <f t="shared" si="5"/>
        <v>-30.41</v>
      </c>
      <c r="L47" s="59">
        <f t="shared" si="5"/>
        <v>34880.480000000003</v>
      </c>
      <c r="M47" s="59">
        <f t="shared" si="5"/>
        <v>53024.22</v>
      </c>
      <c r="N47" s="59">
        <f t="shared" si="5"/>
        <v>16000</v>
      </c>
      <c r="O47" s="59"/>
      <c r="P47" s="59">
        <f t="shared" si="5"/>
        <v>32748.200000000004</v>
      </c>
      <c r="Q47" s="59">
        <f t="shared" si="5"/>
        <v>11745.07</v>
      </c>
      <c r="R47" s="59">
        <f t="shared" si="5"/>
        <v>38972.83</v>
      </c>
      <c r="S47" s="59">
        <f t="shared" si="5"/>
        <v>28347.150000000009</v>
      </c>
      <c r="T47" s="59">
        <f t="shared" si="5"/>
        <v>29680.539999999997</v>
      </c>
      <c r="U47" s="59">
        <f t="shared" si="5"/>
        <v>32455.039999999997</v>
      </c>
      <c r="V47" s="59">
        <f t="shared" si="5"/>
        <v>19722.379999999997</v>
      </c>
      <c r="W47" s="59"/>
      <c r="X47" s="59"/>
      <c r="Y47" s="59"/>
      <c r="Z47" s="59">
        <f t="shared" si="5"/>
        <v>20050.71</v>
      </c>
      <c r="AA47" s="59">
        <f t="shared" si="5"/>
        <v>14647.019999999997</v>
      </c>
      <c r="AB47" s="59">
        <f t="shared" si="5"/>
        <v>11917.099999999999</v>
      </c>
      <c r="AC47" s="59">
        <f t="shared" si="5"/>
        <v>35797.200000000004</v>
      </c>
      <c r="AD47" s="59">
        <f t="shared" si="5"/>
        <v>14042.929999999997</v>
      </c>
      <c r="AE47" s="59">
        <f t="shared" si="5"/>
        <v>7775.1400000000012</v>
      </c>
      <c r="AF47" s="59">
        <f t="shared" si="5"/>
        <v>33579.01</v>
      </c>
      <c r="AG47" s="59"/>
      <c r="AH47" s="59">
        <f t="shared" si="5"/>
        <v>135423.39000000001</v>
      </c>
      <c r="AI47" s="59">
        <f t="shared" si="5"/>
        <v>43262.990000000005</v>
      </c>
      <c r="AJ47" s="59">
        <f t="shared" si="5"/>
        <v>62972.86</v>
      </c>
      <c r="AK47" s="59">
        <f t="shared" si="5"/>
        <v>34216.270000000004</v>
      </c>
      <c r="AL47" s="59"/>
      <c r="AM47" s="59">
        <f t="shared" si="5"/>
        <v>28152.27</v>
      </c>
      <c r="AN47" s="59"/>
      <c r="AO47" s="59">
        <f t="shared" si="5"/>
        <v>7925.369999999999</v>
      </c>
      <c r="AP47" s="59">
        <f t="shared" si="5"/>
        <v>106936.49000000003</v>
      </c>
      <c r="AQ47" s="59">
        <f t="shared" si="5"/>
        <v>7633.880000000001</v>
      </c>
      <c r="AR47" s="59">
        <f t="shared" si="5"/>
        <v>1450</v>
      </c>
      <c r="AS47" s="59">
        <f t="shared" si="5"/>
        <v>-1066388.9400000002</v>
      </c>
      <c r="AT47" s="59">
        <f>SUM(B47:AS47)</f>
        <v>521807.18999999948</v>
      </c>
      <c r="AU47" s="12"/>
    </row>
    <row r="48" spans="1:48" ht="12.75" thickTop="1" x14ac:dyDescent="0.2">
      <c r="N48" s="69"/>
      <c r="O48" s="69"/>
      <c r="P48" s="69"/>
      <c r="Q48" s="69"/>
      <c r="R48" s="69"/>
      <c r="S48" s="69"/>
      <c r="T48" s="69"/>
      <c r="U48" s="69"/>
      <c r="AT48" s="70"/>
    </row>
    <row r="49" spans="1:48" s="55" customFormat="1" x14ac:dyDescent="0.2">
      <c r="A49" s="55" t="s">
        <v>70</v>
      </c>
      <c r="B49" s="55">
        <f>16700+41650</f>
        <v>58350</v>
      </c>
      <c r="C49" s="55">
        <f>10350+16800</f>
        <v>27150</v>
      </c>
      <c r="E49" s="55">
        <f>1200+12850</f>
        <v>14050</v>
      </c>
      <c r="F49" s="55">
        <f>6450+40850</f>
        <v>47300</v>
      </c>
      <c r="G49" s="55">
        <v>1720</v>
      </c>
      <c r="I49" s="55">
        <f>10150+70138</f>
        <v>80288</v>
      </c>
      <c r="J49" s="55">
        <f>2100+23959</f>
        <v>26059</v>
      </c>
      <c r="L49" s="55">
        <f>800+7025</f>
        <v>7825</v>
      </c>
      <c r="M49" s="55">
        <f>2000+9250</f>
        <v>11250</v>
      </c>
      <c r="N49" s="55">
        <f>6100+2350</f>
        <v>8450</v>
      </c>
      <c r="P49" s="55">
        <f>1700+7136.66</f>
        <v>8836.66</v>
      </c>
      <c r="Q49" s="55">
        <f>250+2350</f>
        <v>2600</v>
      </c>
      <c r="R49" s="55">
        <f>900+7550</f>
        <v>8450</v>
      </c>
      <c r="S49" s="55">
        <f>1800+15300</f>
        <v>17100</v>
      </c>
      <c r="T49" s="55">
        <f>2650+11650</f>
        <v>14300</v>
      </c>
      <c r="U49" s="55">
        <f>2550+8450</f>
        <v>11000</v>
      </c>
      <c r="V49" s="55">
        <f>1300+700</f>
        <v>2000</v>
      </c>
      <c r="Z49" s="55">
        <v>9800</v>
      </c>
      <c r="AA49" s="55">
        <f>1200+4250</f>
        <v>5450</v>
      </c>
      <c r="AB49" s="55">
        <v>2800</v>
      </c>
      <c r="AC49" s="55">
        <v>7500</v>
      </c>
      <c r="AD49" s="55">
        <v>1500</v>
      </c>
      <c r="AF49" s="55">
        <f>4450+3283.33</f>
        <v>7733.33</v>
      </c>
      <c r="AH49" s="55">
        <f>9950+35625</f>
        <v>45575</v>
      </c>
      <c r="AI49" s="55">
        <f>9150+6800</f>
        <v>15950</v>
      </c>
      <c r="AJ49" s="55">
        <f>27350+5850</f>
        <v>33200</v>
      </c>
      <c r="AK49" s="55">
        <f>850+2866.66</f>
        <v>3716.66</v>
      </c>
      <c r="AM49" s="55">
        <f>300+5200</f>
        <v>5500</v>
      </c>
      <c r="AO49" s="55">
        <v>3950</v>
      </c>
      <c r="AP49" s="55">
        <f>12550+36158.32</f>
        <v>48708.32</v>
      </c>
      <c r="AQ49" s="55">
        <v>1800</v>
      </c>
      <c r="AR49" s="55">
        <f>250+600</f>
        <v>850</v>
      </c>
      <c r="AS49" s="55">
        <v>10375</v>
      </c>
      <c r="AT49" s="2">
        <f>SUM(B49:AS49)</f>
        <v>551136.97</v>
      </c>
    </row>
    <row r="50" spans="1:48" s="83" customFormat="1" ht="12.75" x14ac:dyDescent="0.2">
      <c r="A50" s="82" t="s">
        <v>71</v>
      </c>
      <c r="B50" s="82">
        <f>+B47-B49</f>
        <v>77955.569999999978</v>
      </c>
      <c r="C50" s="82">
        <f t="shared" ref="C50:AS50" si="6">+C47-C49</f>
        <v>78070.06</v>
      </c>
      <c r="D50" s="82">
        <f t="shared" si="6"/>
        <v>0</v>
      </c>
      <c r="E50" s="82">
        <f t="shared" si="6"/>
        <v>28155.960000000006</v>
      </c>
      <c r="F50" s="82">
        <f t="shared" si="6"/>
        <v>76002.320000000007</v>
      </c>
      <c r="G50" s="82">
        <f t="shared" si="6"/>
        <v>11442.259999999995</v>
      </c>
      <c r="H50" s="82">
        <f t="shared" si="6"/>
        <v>0</v>
      </c>
      <c r="I50" s="82">
        <f t="shared" si="6"/>
        <v>158478.30000000002</v>
      </c>
      <c r="J50" s="82">
        <f t="shared" si="6"/>
        <v>39846.53</v>
      </c>
      <c r="K50" s="82">
        <f t="shared" si="6"/>
        <v>-30.41</v>
      </c>
      <c r="L50" s="82">
        <f t="shared" si="6"/>
        <v>27055.480000000003</v>
      </c>
      <c r="M50" s="82">
        <f t="shared" si="6"/>
        <v>41774.22</v>
      </c>
      <c r="N50" s="82">
        <f t="shared" si="6"/>
        <v>7550</v>
      </c>
      <c r="O50" s="82">
        <f t="shared" si="6"/>
        <v>0</v>
      </c>
      <c r="P50" s="82">
        <f t="shared" si="6"/>
        <v>23911.540000000005</v>
      </c>
      <c r="Q50" s="82">
        <f t="shared" si="6"/>
        <v>9145.07</v>
      </c>
      <c r="R50" s="82">
        <f t="shared" si="6"/>
        <v>30522.83</v>
      </c>
      <c r="S50" s="82">
        <f t="shared" si="6"/>
        <v>11247.150000000009</v>
      </c>
      <c r="T50" s="82">
        <f t="shared" si="6"/>
        <v>15380.539999999997</v>
      </c>
      <c r="U50" s="82">
        <f t="shared" si="6"/>
        <v>21455.039999999997</v>
      </c>
      <c r="V50" s="82">
        <f t="shared" si="6"/>
        <v>17722.379999999997</v>
      </c>
      <c r="W50" s="82">
        <f t="shared" si="6"/>
        <v>0</v>
      </c>
      <c r="X50" s="82">
        <f t="shared" si="6"/>
        <v>0</v>
      </c>
      <c r="Y50" s="82">
        <f t="shared" si="6"/>
        <v>0</v>
      </c>
      <c r="Z50" s="82">
        <f t="shared" si="6"/>
        <v>10250.709999999999</v>
      </c>
      <c r="AA50" s="82">
        <f t="shared" si="6"/>
        <v>9197.0199999999968</v>
      </c>
      <c r="AB50" s="82">
        <f t="shared" si="6"/>
        <v>9117.0999999999985</v>
      </c>
      <c r="AC50" s="82">
        <f t="shared" si="6"/>
        <v>28297.200000000004</v>
      </c>
      <c r="AD50" s="82">
        <f t="shared" si="6"/>
        <v>12542.929999999997</v>
      </c>
      <c r="AE50" s="82">
        <f t="shared" si="6"/>
        <v>7775.1400000000012</v>
      </c>
      <c r="AF50" s="82">
        <f t="shared" si="6"/>
        <v>25845.68</v>
      </c>
      <c r="AG50" s="82">
        <f t="shared" si="6"/>
        <v>0</v>
      </c>
      <c r="AH50" s="82">
        <f t="shared" si="6"/>
        <v>89848.390000000014</v>
      </c>
      <c r="AI50" s="82">
        <f t="shared" si="6"/>
        <v>27312.990000000005</v>
      </c>
      <c r="AJ50" s="82">
        <f t="shared" si="6"/>
        <v>29772.86</v>
      </c>
      <c r="AK50" s="82">
        <f t="shared" si="6"/>
        <v>30499.610000000004</v>
      </c>
      <c r="AL50" s="82">
        <f t="shared" si="6"/>
        <v>0</v>
      </c>
      <c r="AM50" s="82">
        <f t="shared" si="6"/>
        <v>22652.27</v>
      </c>
      <c r="AN50" s="82">
        <f t="shared" si="6"/>
        <v>0</v>
      </c>
      <c r="AO50" s="82">
        <f t="shared" si="6"/>
        <v>3975.369999999999</v>
      </c>
      <c r="AP50" s="82">
        <f t="shared" si="6"/>
        <v>58228.170000000035</v>
      </c>
      <c r="AQ50" s="82">
        <f t="shared" si="6"/>
        <v>5833.880000000001</v>
      </c>
      <c r="AR50" s="82">
        <f t="shared" si="6"/>
        <v>600</v>
      </c>
      <c r="AS50" s="82">
        <f t="shared" si="6"/>
        <v>-1076763.9400000002</v>
      </c>
      <c r="AT50" s="104">
        <f>SUM(B50:AS50)-AT53-AT54-AT55+AT56</f>
        <v>376582.10884999996</v>
      </c>
      <c r="AU50" s="55"/>
      <c r="AV50" s="55"/>
    </row>
    <row r="51" spans="1:48" x14ac:dyDescent="0.2">
      <c r="E51" s="69">
        <f>+E50-E53</f>
        <v>25762.703400000006</v>
      </c>
      <c r="G51" s="69">
        <f>+G50-G53</f>
        <v>10469.667899999995</v>
      </c>
      <c r="N51" s="69"/>
      <c r="O51" s="69"/>
      <c r="P51" s="69"/>
      <c r="Q51" s="69"/>
      <c r="R51" s="69"/>
      <c r="S51" s="69"/>
      <c r="T51" s="69"/>
      <c r="U51" s="69"/>
      <c r="AT51" s="106">
        <v>376582.11</v>
      </c>
      <c r="AU51" s="84" t="s">
        <v>106</v>
      </c>
    </row>
    <row r="52" spans="1:48" s="55" customFormat="1" x14ac:dyDescent="0.2">
      <c r="AT52" s="105">
        <f>+AT50-AT51</f>
        <v>-1.1500000255182385E-3</v>
      </c>
      <c r="AU52" s="85" t="s">
        <v>82</v>
      </c>
    </row>
    <row r="53" spans="1:48" s="55" customFormat="1" x14ac:dyDescent="0.2">
      <c r="A53" s="86" t="s">
        <v>78</v>
      </c>
      <c r="B53" s="86"/>
      <c r="C53" s="86"/>
      <c r="D53" s="86"/>
      <c r="E53" s="86">
        <f>+E50*8.5%</f>
        <v>2393.2566000000006</v>
      </c>
      <c r="F53" s="86"/>
      <c r="G53" s="86">
        <f>+G50*8.5%</f>
        <v>972.59209999999962</v>
      </c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>
        <f>+V50*8.5%</f>
        <v>1506.4023</v>
      </c>
      <c r="W53" s="86">
        <f>+W50*8.5%</f>
        <v>0</v>
      </c>
      <c r="X53" s="86"/>
      <c r="Y53" s="86">
        <f>+Y50*8.5%</f>
        <v>0</v>
      </c>
      <c r="Z53" s="86">
        <f>+Z50*8.5%</f>
        <v>871.31034999999997</v>
      </c>
      <c r="AA53" s="86">
        <f>+AA50*8.5%</f>
        <v>781.74669999999981</v>
      </c>
      <c r="AB53" s="86"/>
      <c r="AC53" s="86">
        <f>(AC50-AC54)*8.5%</f>
        <v>2192.7620000000006</v>
      </c>
      <c r="AD53" s="86"/>
      <c r="AE53" s="86"/>
      <c r="AF53" s="86"/>
      <c r="AG53" s="86">
        <f>+AG50*8.5%</f>
        <v>0</v>
      </c>
      <c r="AH53" s="86"/>
      <c r="AI53" s="86"/>
      <c r="AJ53" s="86">
        <f>+AJ50*8.5%</f>
        <v>2530.6931000000004</v>
      </c>
      <c r="AK53" s="86"/>
      <c r="AL53" s="86">
        <f>+AL50*8.5%</f>
        <v>0</v>
      </c>
      <c r="AM53" s="86"/>
      <c r="AN53" s="86"/>
      <c r="AO53" s="86"/>
      <c r="AP53" s="86"/>
      <c r="AQ53" s="86"/>
      <c r="AR53" s="86"/>
      <c r="AS53" s="86"/>
      <c r="AT53" s="87">
        <f>SUM(B53:AS53)</f>
        <v>11248.763150000001</v>
      </c>
      <c r="AU53" s="88"/>
    </row>
    <row r="54" spans="1:48" s="55" customFormat="1" x14ac:dyDescent="0.2">
      <c r="A54" s="86" t="s">
        <v>84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>
        <v>2500</v>
      </c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>
        <v>20939.348000000002</v>
      </c>
      <c r="AT54" s="87">
        <f t="shared" ref="AT54:AT56" si="7">SUM(B54:AS54)</f>
        <v>23439.348000000002</v>
      </c>
      <c r="AU54" s="88"/>
    </row>
    <row r="55" spans="1:48" x14ac:dyDescent="0.2">
      <c r="A55" s="89" t="s">
        <v>85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>
        <f>133300+25000</f>
        <v>158300</v>
      </c>
      <c r="AT55" s="87">
        <f t="shared" si="7"/>
        <v>158300</v>
      </c>
    </row>
    <row r="56" spans="1:48" x14ac:dyDescent="0.2">
      <c r="A56" s="89" t="s">
        <v>86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>
        <v>598900</v>
      </c>
      <c r="AT56" s="87">
        <f t="shared" si="7"/>
        <v>598900</v>
      </c>
    </row>
    <row r="57" spans="1:48" ht="8.25" customHeight="1" x14ac:dyDescent="0.2">
      <c r="N57" s="69"/>
      <c r="O57" s="69"/>
      <c r="P57" s="69"/>
      <c r="Q57" s="69"/>
      <c r="R57" s="69"/>
      <c r="S57" s="69"/>
      <c r="T57" s="69"/>
      <c r="U57" s="69"/>
      <c r="AT57" s="70"/>
    </row>
    <row r="58" spans="1:48" ht="12.75" x14ac:dyDescent="0.2">
      <c r="A58" s="90" t="s">
        <v>92</v>
      </c>
      <c r="B58" s="90">
        <v>15</v>
      </c>
      <c r="C58" s="90">
        <v>6</v>
      </c>
      <c r="D58" s="90"/>
      <c r="E58" s="90">
        <v>5</v>
      </c>
      <c r="F58" s="90">
        <v>14</v>
      </c>
      <c r="G58" s="90">
        <v>3</v>
      </c>
      <c r="H58" s="90"/>
      <c r="I58" s="90">
        <v>24</v>
      </c>
      <c r="J58" s="90">
        <v>11</v>
      </c>
      <c r="K58" s="90">
        <v>1</v>
      </c>
      <c r="L58" s="90">
        <v>5</v>
      </c>
      <c r="M58" s="90">
        <v>3</v>
      </c>
      <c r="N58" s="90">
        <v>1</v>
      </c>
      <c r="O58" s="90"/>
      <c r="P58" s="90">
        <v>4</v>
      </c>
      <c r="Q58" s="90">
        <v>1</v>
      </c>
      <c r="R58" s="90">
        <v>5</v>
      </c>
      <c r="S58" s="90">
        <v>4</v>
      </c>
      <c r="T58" s="90">
        <v>3</v>
      </c>
      <c r="U58" s="90">
        <v>3</v>
      </c>
      <c r="V58" s="90">
        <v>3</v>
      </c>
      <c r="W58" s="90"/>
      <c r="X58" s="90"/>
      <c r="Y58" s="90"/>
      <c r="Z58" s="90">
        <v>2</v>
      </c>
      <c r="AA58" s="90">
        <v>2</v>
      </c>
      <c r="AB58" s="90">
        <v>2</v>
      </c>
      <c r="AC58" s="90">
        <v>5</v>
      </c>
      <c r="AD58" s="90">
        <v>2</v>
      </c>
      <c r="AE58" s="90">
        <v>1</v>
      </c>
      <c r="AF58" s="90">
        <v>5</v>
      </c>
      <c r="AG58" s="90"/>
      <c r="AH58" s="90">
        <v>13</v>
      </c>
      <c r="AI58" s="90">
        <v>3</v>
      </c>
      <c r="AJ58" s="90">
        <v>4</v>
      </c>
      <c r="AK58" s="90">
        <v>3</v>
      </c>
      <c r="AL58" s="90"/>
      <c r="AM58" s="90">
        <v>3</v>
      </c>
      <c r="AN58" s="90"/>
      <c r="AO58" s="90">
        <v>1</v>
      </c>
      <c r="AP58" s="90">
        <v>12</v>
      </c>
      <c r="AQ58" s="90">
        <v>3</v>
      </c>
      <c r="AR58" s="91">
        <f>SUM(A58:AQ58)</f>
        <v>172</v>
      </c>
      <c r="AS58" s="92" t="s">
        <v>103</v>
      </c>
      <c r="AT58" s="70"/>
    </row>
    <row r="59" spans="1:48" x14ac:dyDescent="0.2">
      <c r="A59" s="90" t="s">
        <v>91</v>
      </c>
      <c r="B59" s="93">
        <f>+B50/B58</f>
        <v>5197.0379999999986</v>
      </c>
      <c r="C59" s="93">
        <f t="shared" ref="C59:AQ59" si="8">+C50/C58</f>
        <v>13011.676666666666</v>
      </c>
      <c r="D59" s="93" t="e">
        <f t="shared" si="8"/>
        <v>#DIV/0!</v>
      </c>
      <c r="E59" s="93">
        <f t="shared" si="8"/>
        <v>5631.1920000000009</v>
      </c>
      <c r="F59" s="93">
        <f t="shared" si="8"/>
        <v>5428.7371428571432</v>
      </c>
      <c r="G59" s="93">
        <f t="shared" si="8"/>
        <v>3814.0866666666648</v>
      </c>
      <c r="H59" s="93" t="e">
        <f t="shared" si="8"/>
        <v>#DIV/0!</v>
      </c>
      <c r="I59" s="93">
        <f t="shared" si="8"/>
        <v>6603.2625000000007</v>
      </c>
      <c r="J59" s="93">
        <f t="shared" si="8"/>
        <v>3622.411818181818</v>
      </c>
      <c r="K59" s="93">
        <f t="shared" si="8"/>
        <v>-30.41</v>
      </c>
      <c r="L59" s="93">
        <f t="shared" si="8"/>
        <v>5411.0960000000005</v>
      </c>
      <c r="M59" s="93">
        <f>(M50-M9)/M58</f>
        <v>6724.7400000000007</v>
      </c>
      <c r="N59" s="93">
        <f t="shared" si="8"/>
        <v>7550</v>
      </c>
      <c r="O59" s="93" t="e">
        <f t="shared" si="8"/>
        <v>#DIV/0!</v>
      </c>
      <c r="P59" s="93">
        <f t="shared" si="8"/>
        <v>5977.8850000000011</v>
      </c>
      <c r="Q59" s="93">
        <f t="shared" si="8"/>
        <v>9145.07</v>
      </c>
      <c r="R59" s="93">
        <f t="shared" si="8"/>
        <v>6104.5660000000007</v>
      </c>
      <c r="S59" s="93">
        <f t="shared" si="8"/>
        <v>2811.7875000000022</v>
      </c>
      <c r="T59" s="93">
        <f t="shared" si="8"/>
        <v>5126.8466666666654</v>
      </c>
      <c r="U59" s="93">
        <f t="shared" si="8"/>
        <v>7151.6799999999994</v>
      </c>
      <c r="V59" s="93">
        <f t="shared" si="8"/>
        <v>5907.4599999999991</v>
      </c>
      <c r="W59" s="93" t="e">
        <f t="shared" si="8"/>
        <v>#DIV/0!</v>
      </c>
      <c r="X59" s="93" t="e">
        <f t="shared" si="8"/>
        <v>#DIV/0!</v>
      </c>
      <c r="Y59" s="93" t="e">
        <f t="shared" si="8"/>
        <v>#DIV/0!</v>
      </c>
      <c r="Z59" s="93">
        <f t="shared" si="8"/>
        <v>5125.3549999999996</v>
      </c>
      <c r="AA59" s="93">
        <f t="shared" si="8"/>
        <v>4598.5099999999984</v>
      </c>
      <c r="AB59" s="93">
        <f t="shared" si="8"/>
        <v>4558.5499999999993</v>
      </c>
      <c r="AC59" s="93">
        <f>(AC50-AC54)/AC58</f>
        <v>5159.4400000000005</v>
      </c>
      <c r="AD59" s="93">
        <f t="shared" si="8"/>
        <v>6271.4649999999983</v>
      </c>
      <c r="AE59" s="93">
        <f t="shared" si="8"/>
        <v>7775.1400000000012</v>
      </c>
      <c r="AF59" s="93">
        <f t="shared" si="8"/>
        <v>5169.1360000000004</v>
      </c>
      <c r="AG59" s="93" t="e">
        <f t="shared" si="8"/>
        <v>#DIV/0!</v>
      </c>
      <c r="AH59" s="93">
        <f t="shared" si="8"/>
        <v>6911.4146153846168</v>
      </c>
      <c r="AI59" s="93">
        <f t="shared" si="8"/>
        <v>9104.3300000000017</v>
      </c>
      <c r="AJ59" s="93">
        <f t="shared" si="8"/>
        <v>7443.2150000000001</v>
      </c>
      <c r="AK59" s="93">
        <f t="shared" si="8"/>
        <v>10166.536666666669</v>
      </c>
      <c r="AL59" s="93" t="e">
        <f t="shared" si="8"/>
        <v>#DIV/0!</v>
      </c>
      <c r="AM59" s="93">
        <f t="shared" si="8"/>
        <v>7550.7566666666671</v>
      </c>
      <c r="AN59" s="93" t="e">
        <f t="shared" si="8"/>
        <v>#DIV/0!</v>
      </c>
      <c r="AO59" s="93">
        <f t="shared" si="8"/>
        <v>3975.369999999999</v>
      </c>
      <c r="AP59" s="93">
        <f t="shared" si="8"/>
        <v>4852.3475000000026</v>
      </c>
      <c r="AQ59" s="93">
        <f t="shared" si="8"/>
        <v>1944.626666666667</v>
      </c>
    </row>
    <row r="61" spans="1:48" x14ac:dyDescent="0.2">
      <c r="B61" s="90">
        <v>15</v>
      </c>
      <c r="C61" s="90">
        <v>6</v>
      </c>
      <c r="D61" s="90"/>
      <c r="E61" s="90">
        <v>5</v>
      </c>
      <c r="F61" s="90">
        <v>14</v>
      </c>
      <c r="G61" s="90">
        <v>3</v>
      </c>
      <c r="H61" s="90"/>
      <c r="I61" s="90">
        <v>24</v>
      </c>
      <c r="J61" s="90">
        <v>11</v>
      </c>
      <c r="K61" s="90">
        <v>1</v>
      </c>
      <c r="L61" s="90">
        <v>5</v>
      </c>
      <c r="M61" s="90">
        <v>3</v>
      </c>
      <c r="N61" s="90">
        <v>1</v>
      </c>
      <c r="O61" s="90"/>
      <c r="P61" s="90">
        <v>4</v>
      </c>
      <c r="Q61" s="90">
        <v>1</v>
      </c>
      <c r="R61" s="90">
        <v>5</v>
      </c>
      <c r="S61" s="90">
        <v>5</v>
      </c>
      <c r="T61" s="90">
        <v>3</v>
      </c>
      <c r="U61" s="90">
        <v>3</v>
      </c>
      <c r="V61" s="90">
        <v>3</v>
      </c>
      <c r="W61" s="90">
        <v>1</v>
      </c>
      <c r="X61" s="90">
        <v>44</v>
      </c>
      <c r="Y61" s="90">
        <v>1</v>
      </c>
      <c r="Z61" s="90">
        <v>2</v>
      </c>
      <c r="AA61" s="90">
        <v>2</v>
      </c>
      <c r="AB61" s="90">
        <v>2</v>
      </c>
      <c r="AC61" s="90">
        <v>5</v>
      </c>
      <c r="AD61" s="90">
        <v>2</v>
      </c>
      <c r="AE61" s="90">
        <v>1</v>
      </c>
      <c r="AF61" s="90">
        <v>5</v>
      </c>
      <c r="AG61" s="90">
        <v>5</v>
      </c>
      <c r="AH61" s="90">
        <v>13</v>
      </c>
      <c r="AI61" s="90">
        <v>3</v>
      </c>
      <c r="AJ61" s="90"/>
      <c r="AK61" s="90">
        <v>3</v>
      </c>
      <c r="AL61" s="90"/>
      <c r="AM61" s="90">
        <v>3</v>
      </c>
      <c r="AN61" s="90"/>
      <c r="AO61" s="90">
        <v>1</v>
      </c>
      <c r="AP61" s="90">
        <v>12</v>
      </c>
      <c r="AQ61" s="90">
        <v>1</v>
      </c>
    </row>
  </sheetData>
  <mergeCells count="4">
    <mergeCell ref="A2:AU2"/>
    <mergeCell ref="A3:AU3"/>
    <mergeCell ref="A4:AU4"/>
    <mergeCell ref="A14:AU1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512F-0ED9-4A25-B367-E57277CB016B}">
  <sheetPr>
    <tabColor rgb="FF7030A0"/>
    <pageSetUpPr fitToPage="1"/>
  </sheetPr>
  <dimension ref="A1:BC59"/>
  <sheetViews>
    <sheetView zoomScaleNormal="100" workbookViewId="0">
      <pane xSplit="1" ySplit="6" topLeftCell="AI40" activePane="bottomRight" state="frozen"/>
      <selection activeCell="AN55" sqref="AN55"/>
      <selection pane="topRight" activeCell="AN55" sqref="AN55"/>
      <selection pane="bottomLeft" activeCell="AN55" sqref="AN55"/>
      <selection pane="bottomRight" activeCell="AN6" sqref="AN6"/>
    </sheetView>
  </sheetViews>
  <sheetFormatPr baseColWidth="10" defaultRowHeight="12" x14ac:dyDescent="0.2"/>
  <cols>
    <col min="1" max="1" width="26.140625" style="1" bestFit="1" customWidth="1"/>
    <col min="2" max="2" width="12.28515625" style="1" bestFit="1" customWidth="1"/>
    <col min="3" max="3" width="10.140625" style="1" bestFit="1" customWidth="1"/>
    <col min="4" max="4" width="9.85546875" style="1" bestFit="1" customWidth="1"/>
    <col min="5" max="5" width="9" style="1" bestFit="1" customWidth="1"/>
    <col min="6" max="6" width="11.28515625" style="1" bestFit="1" customWidth="1"/>
    <col min="7" max="7" width="9.7109375" style="1" bestFit="1" customWidth="1"/>
    <col min="8" max="8" width="13.28515625" style="1" customWidth="1"/>
    <col min="9" max="9" width="11.5703125" style="1" bestFit="1" customWidth="1"/>
    <col min="10" max="10" width="14.7109375" style="1" bestFit="1" customWidth="1"/>
    <col min="11" max="11" width="9.42578125" style="1" bestFit="1" customWidth="1"/>
    <col min="12" max="12" width="11.7109375" style="1" bestFit="1" customWidth="1"/>
    <col min="13" max="13" width="14.85546875" style="1" bestFit="1" customWidth="1"/>
    <col min="14" max="14" width="9.42578125" style="3" bestFit="1" customWidth="1"/>
    <col min="15" max="15" width="13" style="3" customWidth="1"/>
    <col min="16" max="16" width="14" style="3" customWidth="1"/>
    <col min="17" max="17" width="13.42578125" style="3" customWidth="1"/>
    <col min="18" max="18" width="13.28515625" style="3" customWidth="1"/>
    <col min="19" max="19" width="12.42578125" style="3" customWidth="1"/>
    <col min="20" max="20" width="13" style="3" customWidth="1"/>
    <col min="21" max="21" width="10.5703125" style="3" customWidth="1"/>
    <col min="22" max="22" width="12.28515625" style="1" customWidth="1"/>
    <col min="23" max="23" width="13.28515625" style="1" hidden="1" customWidth="1"/>
    <col min="24" max="25" width="18.28515625" style="1" hidden="1" customWidth="1"/>
    <col min="26" max="26" width="14.5703125" style="1" customWidth="1"/>
    <col min="27" max="27" width="15" style="1" customWidth="1"/>
    <col min="28" max="28" width="13.7109375" style="1" customWidth="1"/>
    <col min="29" max="29" width="10.7109375" style="1" customWidth="1"/>
    <col min="30" max="30" width="12.85546875" style="1" customWidth="1"/>
    <col min="31" max="31" width="15" style="1" customWidth="1"/>
    <col min="32" max="32" width="14.7109375" style="1" customWidth="1"/>
    <col min="33" max="33" width="18.28515625" style="1" hidden="1" customWidth="1"/>
    <col min="34" max="34" width="12.7109375" style="1" customWidth="1"/>
    <col min="35" max="35" width="12.28515625" style="1" customWidth="1"/>
    <col min="36" max="36" width="13.42578125" style="1" hidden="1" customWidth="1"/>
    <col min="37" max="37" width="12.7109375" style="1" customWidth="1"/>
    <col min="38" max="38" width="18.28515625" style="1" hidden="1" customWidth="1"/>
    <col min="39" max="39" width="13" style="1" customWidth="1"/>
    <col min="40" max="40" width="18.28515625" style="1" customWidth="1"/>
    <col min="41" max="41" width="13.28515625" style="1" customWidth="1"/>
    <col min="42" max="42" width="13.140625" style="1" customWidth="1"/>
    <col min="43" max="43" width="13.85546875" style="1" customWidth="1"/>
    <col min="44" max="44" width="10.28515625" style="1" customWidth="1"/>
    <col min="45" max="45" width="18.28515625" style="1" customWidth="1"/>
    <col min="46" max="46" width="11.140625" style="1" bestFit="1" customWidth="1"/>
    <col min="47" max="47" width="10.42578125" style="1" bestFit="1" customWidth="1"/>
    <col min="48" max="48" width="9.85546875" style="1" bestFit="1" customWidth="1"/>
    <col min="49" max="262" width="11.42578125" style="1"/>
    <col min="263" max="263" width="26.140625" style="1" bestFit="1" customWidth="1"/>
    <col min="264" max="277" width="18.28515625" style="1" customWidth="1"/>
    <col min="278" max="278" width="14" style="1" customWidth="1"/>
    <col min="279" max="279" width="13.42578125" style="1" customWidth="1"/>
    <col min="280" max="280" width="13.28515625" style="1" customWidth="1"/>
    <col min="281" max="281" width="12.42578125" style="1" customWidth="1"/>
    <col min="282" max="282" width="13" style="1" customWidth="1"/>
    <col min="283" max="283" width="12.42578125" style="1" customWidth="1"/>
    <col min="284" max="284" width="14.140625" style="1" customWidth="1"/>
    <col min="285" max="285" width="13.28515625" style="1" customWidth="1"/>
    <col min="286" max="295" width="18.28515625" style="1" customWidth="1"/>
    <col min="296" max="296" width="12.7109375" style="1" customWidth="1"/>
    <col min="297" max="297" width="12.28515625" style="1" customWidth="1"/>
    <col min="298" max="298" width="13.42578125" style="1" customWidth="1"/>
    <col min="299" max="301" width="18.28515625" style="1" customWidth="1"/>
    <col min="302" max="302" width="11.140625" style="1" bestFit="1" customWidth="1"/>
    <col min="303" max="303" width="10.42578125" style="1" bestFit="1" customWidth="1"/>
    <col min="304" max="304" width="9.85546875" style="1" bestFit="1" customWidth="1"/>
    <col min="305" max="518" width="11.42578125" style="1"/>
    <col min="519" max="519" width="26.140625" style="1" bestFit="1" customWidth="1"/>
    <col min="520" max="533" width="18.28515625" style="1" customWidth="1"/>
    <col min="534" max="534" width="14" style="1" customWidth="1"/>
    <col min="535" max="535" width="13.42578125" style="1" customWidth="1"/>
    <col min="536" max="536" width="13.28515625" style="1" customWidth="1"/>
    <col min="537" max="537" width="12.42578125" style="1" customWidth="1"/>
    <col min="538" max="538" width="13" style="1" customWidth="1"/>
    <col min="539" max="539" width="12.42578125" style="1" customWidth="1"/>
    <col min="540" max="540" width="14.140625" style="1" customWidth="1"/>
    <col min="541" max="541" width="13.28515625" style="1" customWidth="1"/>
    <col min="542" max="551" width="18.28515625" style="1" customWidth="1"/>
    <col min="552" max="552" width="12.7109375" style="1" customWidth="1"/>
    <col min="553" max="553" width="12.28515625" style="1" customWidth="1"/>
    <col min="554" max="554" width="13.42578125" style="1" customWidth="1"/>
    <col min="555" max="557" width="18.28515625" style="1" customWidth="1"/>
    <col min="558" max="558" width="11.140625" style="1" bestFit="1" customWidth="1"/>
    <col min="559" max="559" width="10.42578125" style="1" bestFit="1" customWidth="1"/>
    <col min="560" max="560" width="9.85546875" style="1" bestFit="1" customWidth="1"/>
    <col min="561" max="774" width="11.42578125" style="1"/>
    <col min="775" max="775" width="26.140625" style="1" bestFit="1" customWidth="1"/>
    <col min="776" max="789" width="18.28515625" style="1" customWidth="1"/>
    <col min="790" max="790" width="14" style="1" customWidth="1"/>
    <col min="791" max="791" width="13.42578125" style="1" customWidth="1"/>
    <col min="792" max="792" width="13.28515625" style="1" customWidth="1"/>
    <col min="793" max="793" width="12.42578125" style="1" customWidth="1"/>
    <col min="794" max="794" width="13" style="1" customWidth="1"/>
    <col min="795" max="795" width="12.42578125" style="1" customWidth="1"/>
    <col min="796" max="796" width="14.140625" style="1" customWidth="1"/>
    <col min="797" max="797" width="13.28515625" style="1" customWidth="1"/>
    <col min="798" max="807" width="18.28515625" style="1" customWidth="1"/>
    <col min="808" max="808" width="12.7109375" style="1" customWidth="1"/>
    <col min="809" max="809" width="12.28515625" style="1" customWidth="1"/>
    <col min="810" max="810" width="13.42578125" style="1" customWidth="1"/>
    <col min="811" max="813" width="18.28515625" style="1" customWidth="1"/>
    <col min="814" max="814" width="11.140625" style="1" bestFit="1" customWidth="1"/>
    <col min="815" max="815" width="10.42578125" style="1" bestFit="1" customWidth="1"/>
    <col min="816" max="816" width="9.85546875" style="1" bestFit="1" customWidth="1"/>
    <col min="817" max="1030" width="11.42578125" style="1"/>
    <col min="1031" max="1031" width="26.140625" style="1" bestFit="1" customWidth="1"/>
    <col min="1032" max="1045" width="18.28515625" style="1" customWidth="1"/>
    <col min="1046" max="1046" width="14" style="1" customWidth="1"/>
    <col min="1047" max="1047" width="13.42578125" style="1" customWidth="1"/>
    <col min="1048" max="1048" width="13.28515625" style="1" customWidth="1"/>
    <col min="1049" max="1049" width="12.42578125" style="1" customWidth="1"/>
    <col min="1050" max="1050" width="13" style="1" customWidth="1"/>
    <col min="1051" max="1051" width="12.42578125" style="1" customWidth="1"/>
    <col min="1052" max="1052" width="14.140625" style="1" customWidth="1"/>
    <col min="1053" max="1053" width="13.28515625" style="1" customWidth="1"/>
    <col min="1054" max="1063" width="18.28515625" style="1" customWidth="1"/>
    <col min="1064" max="1064" width="12.7109375" style="1" customWidth="1"/>
    <col min="1065" max="1065" width="12.28515625" style="1" customWidth="1"/>
    <col min="1066" max="1066" width="13.42578125" style="1" customWidth="1"/>
    <col min="1067" max="1069" width="18.28515625" style="1" customWidth="1"/>
    <col min="1070" max="1070" width="11.140625" style="1" bestFit="1" customWidth="1"/>
    <col min="1071" max="1071" width="10.42578125" style="1" bestFit="1" customWidth="1"/>
    <col min="1072" max="1072" width="9.85546875" style="1" bestFit="1" customWidth="1"/>
    <col min="1073" max="1286" width="11.42578125" style="1"/>
    <col min="1287" max="1287" width="26.140625" style="1" bestFit="1" customWidth="1"/>
    <col min="1288" max="1301" width="18.28515625" style="1" customWidth="1"/>
    <col min="1302" max="1302" width="14" style="1" customWidth="1"/>
    <col min="1303" max="1303" width="13.42578125" style="1" customWidth="1"/>
    <col min="1304" max="1304" width="13.28515625" style="1" customWidth="1"/>
    <col min="1305" max="1305" width="12.42578125" style="1" customWidth="1"/>
    <col min="1306" max="1306" width="13" style="1" customWidth="1"/>
    <col min="1307" max="1307" width="12.42578125" style="1" customWidth="1"/>
    <col min="1308" max="1308" width="14.140625" style="1" customWidth="1"/>
    <col min="1309" max="1309" width="13.28515625" style="1" customWidth="1"/>
    <col min="1310" max="1319" width="18.28515625" style="1" customWidth="1"/>
    <col min="1320" max="1320" width="12.7109375" style="1" customWidth="1"/>
    <col min="1321" max="1321" width="12.28515625" style="1" customWidth="1"/>
    <col min="1322" max="1322" width="13.42578125" style="1" customWidth="1"/>
    <col min="1323" max="1325" width="18.28515625" style="1" customWidth="1"/>
    <col min="1326" max="1326" width="11.140625" style="1" bestFit="1" customWidth="1"/>
    <col min="1327" max="1327" width="10.42578125" style="1" bestFit="1" customWidth="1"/>
    <col min="1328" max="1328" width="9.85546875" style="1" bestFit="1" customWidth="1"/>
    <col min="1329" max="1542" width="11.42578125" style="1"/>
    <col min="1543" max="1543" width="26.140625" style="1" bestFit="1" customWidth="1"/>
    <col min="1544" max="1557" width="18.28515625" style="1" customWidth="1"/>
    <col min="1558" max="1558" width="14" style="1" customWidth="1"/>
    <col min="1559" max="1559" width="13.42578125" style="1" customWidth="1"/>
    <col min="1560" max="1560" width="13.28515625" style="1" customWidth="1"/>
    <col min="1561" max="1561" width="12.42578125" style="1" customWidth="1"/>
    <col min="1562" max="1562" width="13" style="1" customWidth="1"/>
    <col min="1563" max="1563" width="12.42578125" style="1" customWidth="1"/>
    <col min="1564" max="1564" width="14.140625" style="1" customWidth="1"/>
    <col min="1565" max="1565" width="13.28515625" style="1" customWidth="1"/>
    <col min="1566" max="1575" width="18.28515625" style="1" customWidth="1"/>
    <col min="1576" max="1576" width="12.7109375" style="1" customWidth="1"/>
    <col min="1577" max="1577" width="12.28515625" style="1" customWidth="1"/>
    <col min="1578" max="1578" width="13.42578125" style="1" customWidth="1"/>
    <col min="1579" max="1581" width="18.28515625" style="1" customWidth="1"/>
    <col min="1582" max="1582" width="11.140625" style="1" bestFit="1" customWidth="1"/>
    <col min="1583" max="1583" width="10.42578125" style="1" bestFit="1" customWidth="1"/>
    <col min="1584" max="1584" width="9.85546875" style="1" bestFit="1" customWidth="1"/>
    <col min="1585" max="1798" width="11.42578125" style="1"/>
    <col min="1799" max="1799" width="26.140625" style="1" bestFit="1" customWidth="1"/>
    <col min="1800" max="1813" width="18.28515625" style="1" customWidth="1"/>
    <col min="1814" max="1814" width="14" style="1" customWidth="1"/>
    <col min="1815" max="1815" width="13.42578125" style="1" customWidth="1"/>
    <col min="1816" max="1816" width="13.28515625" style="1" customWidth="1"/>
    <col min="1817" max="1817" width="12.42578125" style="1" customWidth="1"/>
    <col min="1818" max="1818" width="13" style="1" customWidth="1"/>
    <col min="1819" max="1819" width="12.42578125" style="1" customWidth="1"/>
    <col min="1820" max="1820" width="14.140625" style="1" customWidth="1"/>
    <col min="1821" max="1821" width="13.28515625" style="1" customWidth="1"/>
    <col min="1822" max="1831" width="18.28515625" style="1" customWidth="1"/>
    <col min="1832" max="1832" width="12.7109375" style="1" customWidth="1"/>
    <col min="1833" max="1833" width="12.28515625" style="1" customWidth="1"/>
    <col min="1834" max="1834" width="13.42578125" style="1" customWidth="1"/>
    <col min="1835" max="1837" width="18.28515625" style="1" customWidth="1"/>
    <col min="1838" max="1838" width="11.140625" style="1" bestFit="1" customWidth="1"/>
    <col min="1839" max="1839" width="10.42578125" style="1" bestFit="1" customWidth="1"/>
    <col min="1840" max="1840" width="9.85546875" style="1" bestFit="1" customWidth="1"/>
    <col min="1841" max="2054" width="11.42578125" style="1"/>
    <col min="2055" max="2055" width="26.140625" style="1" bestFit="1" customWidth="1"/>
    <col min="2056" max="2069" width="18.28515625" style="1" customWidth="1"/>
    <col min="2070" max="2070" width="14" style="1" customWidth="1"/>
    <col min="2071" max="2071" width="13.42578125" style="1" customWidth="1"/>
    <col min="2072" max="2072" width="13.28515625" style="1" customWidth="1"/>
    <col min="2073" max="2073" width="12.42578125" style="1" customWidth="1"/>
    <col min="2074" max="2074" width="13" style="1" customWidth="1"/>
    <col min="2075" max="2075" width="12.42578125" style="1" customWidth="1"/>
    <col min="2076" max="2076" width="14.140625" style="1" customWidth="1"/>
    <col min="2077" max="2077" width="13.28515625" style="1" customWidth="1"/>
    <col min="2078" max="2087" width="18.28515625" style="1" customWidth="1"/>
    <col min="2088" max="2088" width="12.7109375" style="1" customWidth="1"/>
    <col min="2089" max="2089" width="12.28515625" style="1" customWidth="1"/>
    <col min="2090" max="2090" width="13.42578125" style="1" customWidth="1"/>
    <col min="2091" max="2093" width="18.28515625" style="1" customWidth="1"/>
    <col min="2094" max="2094" width="11.140625" style="1" bestFit="1" customWidth="1"/>
    <col min="2095" max="2095" width="10.42578125" style="1" bestFit="1" customWidth="1"/>
    <col min="2096" max="2096" width="9.85546875" style="1" bestFit="1" customWidth="1"/>
    <col min="2097" max="2310" width="11.42578125" style="1"/>
    <col min="2311" max="2311" width="26.140625" style="1" bestFit="1" customWidth="1"/>
    <col min="2312" max="2325" width="18.28515625" style="1" customWidth="1"/>
    <col min="2326" max="2326" width="14" style="1" customWidth="1"/>
    <col min="2327" max="2327" width="13.42578125" style="1" customWidth="1"/>
    <col min="2328" max="2328" width="13.28515625" style="1" customWidth="1"/>
    <col min="2329" max="2329" width="12.42578125" style="1" customWidth="1"/>
    <col min="2330" max="2330" width="13" style="1" customWidth="1"/>
    <col min="2331" max="2331" width="12.42578125" style="1" customWidth="1"/>
    <col min="2332" max="2332" width="14.140625" style="1" customWidth="1"/>
    <col min="2333" max="2333" width="13.28515625" style="1" customWidth="1"/>
    <col min="2334" max="2343" width="18.28515625" style="1" customWidth="1"/>
    <col min="2344" max="2344" width="12.7109375" style="1" customWidth="1"/>
    <col min="2345" max="2345" width="12.28515625" style="1" customWidth="1"/>
    <col min="2346" max="2346" width="13.42578125" style="1" customWidth="1"/>
    <col min="2347" max="2349" width="18.28515625" style="1" customWidth="1"/>
    <col min="2350" max="2350" width="11.140625" style="1" bestFit="1" customWidth="1"/>
    <col min="2351" max="2351" width="10.42578125" style="1" bestFit="1" customWidth="1"/>
    <col min="2352" max="2352" width="9.85546875" style="1" bestFit="1" customWidth="1"/>
    <col min="2353" max="2566" width="11.42578125" style="1"/>
    <col min="2567" max="2567" width="26.140625" style="1" bestFit="1" customWidth="1"/>
    <col min="2568" max="2581" width="18.28515625" style="1" customWidth="1"/>
    <col min="2582" max="2582" width="14" style="1" customWidth="1"/>
    <col min="2583" max="2583" width="13.42578125" style="1" customWidth="1"/>
    <col min="2584" max="2584" width="13.28515625" style="1" customWidth="1"/>
    <col min="2585" max="2585" width="12.42578125" style="1" customWidth="1"/>
    <col min="2586" max="2586" width="13" style="1" customWidth="1"/>
    <col min="2587" max="2587" width="12.42578125" style="1" customWidth="1"/>
    <col min="2588" max="2588" width="14.140625" style="1" customWidth="1"/>
    <col min="2589" max="2589" width="13.28515625" style="1" customWidth="1"/>
    <col min="2590" max="2599" width="18.28515625" style="1" customWidth="1"/>
    <col min="2600" max="2600" width="12.7109375" style="1" customWidth="1"/>
    <col min="2601" max="2601" width="12.28515625" style="1" customWidth="1"/>
    <col min="2602" max="2602" width="13.42578125" style="1" customWidth="1"/>
    <col min="2603" max="2605" width="18.28515625" style="1" customWidth="1"/>
    <col min="2606" max="2606" width="11.140625" style="1" bestFit="1" customWidth="1"/>
    <col min="2607" max="2607" width="10.42578125" style="1" bestFit="1" customWidth="1"/>
    <col min="2608" max="2608" width="9.85546875" style="1" bestFit="1" customWidth="1"/>
    <col min="2609" max="2822" width="11.42578125" style="1"/>
    <col min="2823" max="2823" width="26.140625" style="1" bestFit="1" customWidth="1"/>
    <col min="2824" max="2837" width="18.28515625" style="1" customWidth="1"/>
    <col min="2838" max="2838" width="14" style="1" customWidth="1"/>
    <col min="2839" max="2839" width="13.42578125" style="1" customWidth="1"/>
    <col min="2840" max="2840" width="13.28515625" style="1" customWidth="1"/>
    <col min="2841" max="2841" width="12.42578125" style="1" customWidth="1"/>
    <col min="2842" max="2842" width="13" style="1" customWidth="1"/>
    <col min="2843" max="2843" width="12.42578125" style="1" customWidth="1"/>
    <col min="2844" max="2844" width="14.140625" style="1" customWidth="1"/>
    <col min="2845" max="2845" width="13.28515625" style="1" customWidth="1"/>
    <col min="2846" max="2855" width="18.28515625" style="1" customWidth="1"/>
    <col min="2856" max="2856" width="12.7109375" style="1" customWidth="1"/>
    <col min="2857" max="2857" width="12.28515625" style="1" customWidth="1"/>
    <col min="2858" max="2858" width="13.42578125" style="1" customWidth="1"/>
    <col min="2859" max="2861" width="18.28515625" style="1" customWidth="1"/>
    <col min="2862" max="2862" width="11.140625" style="1" bestFit="1" customWidth="1"/>
    <col min="2863" max="2863" width="10.42578125" style="1" bestFit="1" customWidth="1"/>
    <col min="2864" max="2864" width="9.85546875" style="1" bestFit="1" customWidth="1"/>
    <col min="2865" max="3078" width="11.42578125" style="1"/>
    <col min="3079" max="3079" width="26.140625" style="1" bestFit="1" customWidth="1"/>
    <col min="3080" max="3093" width="18.28515625" style="1" customWidth="1"/>
    <col min="3094" max="3094" width="14" style="1" customWidth="1"/>
    <col min="3095" max="3095" width="13.42578125" style="1" customWidth="1"/>
    <col min="3096" max="3096" width="13.28515625" style="1" customWidth="1"/>
    <col min="3097" max="3097" width="12.42578125" style="1" customWidth="1"/>
    <col min="3098" max="3098" width="13" style="1" customWidth="1"/>
    <col min="3099" max="3099" width="12.42578125" style="1" customWidth="1"/>
    <col min="3100" max="3100" width="14.140625" style="1" customWidth="1"/>
    <col min="3101" max="3101" width="13.28515625" style="1" customWidth="1"/>
    <col min="3102" max="3111" width="18.28515625" style="1" customWidth="1"/>
    <col min="3112" max="3112" width="12.7109375" style="1" customWidth="1"/>
    <col min="3113" max="3113" width="12.28515625" style="1" customWidth="1"/>
    <col min="3114" max="3114" width="13.42578125" style="1" customWidth="1"/>
    <col min="3115" max="3117" width="18.28515625" style="1" customWidth="1"/>
    <col min="3118" max="3118" width="11.140625" style="1" bestFit="1" customWidth="1"/>
    <col min="3119" max="3119" width="10.42578125" style="1" bestFit="1" customWidth="1"/>
    <col min="3120" max="3120" width="9.85546875" style="1" bestFit="1" customWidth="1"/>
    <col min="3121" max="3334" width="11.42578125" style="1"/>
    <col min="3335" max="3335" width="26.140625" style="1" bestFit="1" customWidth="1"/>
    <col min="3336" max="3349" width="18.28515625" style="1" customWidth="1"/>
    <col min="3350" max="3350" width="14" style="1" customWidth="1"/>
    <col min="3351" max="3351" width="13.42578125" style="1" customWidth="1"/>
    <col min="3352" max="3352" width="13.28515625" style="1" customWidth="1"/>
    <col min="3353" max="3353" width="12.42578125" style="1" customWidth="1"/>
    <col min="3354" max="3354" width="13" style="1" customWidth="1"/>
    <col min="3355" max="3355" width="12.42578125" style="1" customWidth="1"/>
    <col min="3356" max="3356" width="14.140625" style="1" customWidth="1"/>
    <col min="3357" max="3357" width="13.28515625" style="1" customWidth="1"/>
    <col min="3358" max="3367" width="18.28515625" style="1" customWidth="1"/>
    <col min="3368" max="3368" width="12.7109375" style="1" customWidth="1"/>
    <col min="3369" max="3369" width="12.28515625" style="1" customWidth="1"/>
    <col min="3370" max="3370" width="13.42578125" style="1" customWidth="1"/>
    <col min="3371" max="3373" width="18.28515625" style="1" customWidth="1"/>
    <col min="3374" max="3374" width="11.140625" style="1" bestFit="1" customWidth="1"/>
    <col min="3375" max="3375" width="10.42578125" style="1" bestFit="1" customWidth="1"/>
    <col min="3376" max="3376" width="9.85546875" style="1" bestFit="1" customWidth="1"/>
    <col min="3377" max="3590" width="11.42578125" style="1"/>
    <col min="3591" max="3591" width="26.140625" style="1" bestFit="1" customWidth="1"/>
    <col min="3592" max="3605" width="18.28515625" style="1" customWidth="1"/>
    <col min="3606" max="3606" width="14" style="1" customWidth="1"/>
    <col min="3607" max="3607" width="13.42578125" style="1" customWidth="1"/>
    <col min="3608" max="3608" width="13.28515625" style="1" customWidth="1"/>
    <col min="3609" max="3609" width="12.42578125" style="1" customWidth="1"/>
    <col min="3610" max="3610" width="13" style="1" customWidth="1"/>
    <col min="3611" max="3611" width="12.42578125" style="1" customWidth="1"/>
    <col min="3612" max="3612" width="14.140625" style="1" customWidth="1"/>
    <col min="3613" max="3613" width="13.28515625" style="1" customWidth="1"/>
    <col min="3614" max="3623" width="18.28515625" style="1" customWidth="1"/>
    <col min="3624" max="3624" width="12.7109375" style="1" customWidth="1"/>
    <col min="3625" max="3625" width="12.28515625" style="1" customWidth="1"/>
    <col min="3626" max="3626" width="13.42578125" style="1" customWidth="1"/>
    <col min="3627" max="3629" width="18.28515625" style="1" customWidth="1"/>
    <col min="3630" max="3630" width="11.140625" style="1" bestFit="1" customWidth="1"/>
    <col min="3631" max="3631" width="10.42578125" style="1" bestFit="1" customWidth="1"/>
    <col min="3632" max="3632" width="9.85546875" style="1" bestFit="1" customWidth="1"/>
    <col min="3633" max="3846" width="11.42578125" style="1"/>
    <col min="3847" max="3847" width="26.140625" style="1" bestFit="1" customWidth="1"/>
    <col min="3848" max="3861" width="18.28515625" style="1" customWidth="1"/>
    <col min="3862" max="3862" width="14" style="1" customWidth="1"/>
    <col min="3863" max="3863" width="13.42578125" style="1" customWidth="1"/>
    <col min="3864" max="3864" width="13.28515625" style="1" customWidth="1"/>
    <col min="3865" max="3865" width="12.42578125" style="1" customWidth="1"/>
    <col min="3866" max="3866" width="13" style="1" customWidth="1"/>
    <col min="3867" max="3867" width="12.42578125" style="1" customWidth="1"/>
    <col min="3868" max="3868" width="14.140625" style="1" customWidth="1"/>
    <col min="3869" max="3869" width="13.28515625" style="1" customWidth="1"/>
    <col min="3870" max="3879" width="18.28515625" style="1" customWidth="1"/>
    <col min="3880" max="3880" width="12.7109375" style="1" customWidth="1"/>
    <col min="3881" max="3881" width="12.28515625" style="1" customWidth="1"/>
    <col min="3882" max="3882" width="13.42578125" style="1" customWidth="1"/>
    <col min="3883" max="3885" width="18.28515625" style="1" customWidth="1"/>
    <col min="3886" max="3886" width="11.140625" style="1" bestFit="1" customWidth="1"/>
    <col min="3887" max="3887" width="10.42578125" style="1" bestFit="1" customWidth="1"/>
    <col min="3888" max="3888" width="9.85546875" style="1" bestFit="1" customWidth="1"/>
    <col min="3889" max="4102" width="11.42578125" style="1"/>
    <col min="4103" max="4103" width="26.140625" style="1" bestFit="1" customWidth="1"/>
    <col min="4104" max="4117" width="18.28515625" style="1" customWidth="1"/>
    <col min="4118" max="4118" width="14" style="1" customWidth="1"/>
    <col min="4119" max="4119" width="13.42578125" style="1" customWidth="1"/>
    <col min="4120" max="4120" width="13.28515625" style="1" customWidth="1"/>
    <col min="4121" max="4121" width="12.42578125" style="1" customWidth="1"/>
    <col min="4122" max="4122" width="13" style="1" customWidth="1"/>
    <col min="4123" max="4123" width="12.42578125" style="1" customWidth="1"/>
    <col min="4124" max="4124" width="14.140625" style="1" customWidth="1"/>
    <col min="4125" max="4125" width="13.28515625" style="1" customWidth="1"/>
    <col min="4126" max="4135" width="18.28515625" style="1" customWidth="1"/>
    <col min="4136" max="4136" width="12.7109375" style="1" customWidth="1"/>
    <col min="4137" max="4137" width="12.28515625" style="1" customWidth="1"/>
    <col min="4138" max="4138" width="13.42578125" style="1" customWidth="1"/>
    <col min="4139" max="4141" width="18.28515625" style="1" customWidth="1"/>
    <col min="4142" max="4142" width="11.140625" style="1" bestFit="1" customWidth="1"/>
    <col min="4143" max="4143" width="10.42578125" style="1" bestFit="1" customWidth="1"/>
    <col min="4144" max="4144" width="9.85546875" style="1" bestFit="1" customWidth="1"/>
    <col min="4145" max="4358" width="11.42578125" style="1"/>
    <col min="4359" max="4359" width="26.140625" style="1" bestFit="1" customWidth="1"/>
    <col min="4360" max="4373" width="18.28515625" style="1" customWidth="1"/>
    <col min="4374" max="4374" width="14" style="1" customWidth="1"/>
    <col min="4375" max="4375" width="13.42578125" style="1" customWidth="1"/>
    <col min="4376" max="4376" width="13.28515625" style="1" customWidth="1"/>
    <col min="4377" max="4377" width="12.42578125" style="1" customWidth="1"/>
    <col min="4378" max="4378" width="13" style="1" customWidth="1"/>
    <col min="4379" max="4379" width="12.42578125" style="1" customWidth="1"/>
    <col min="4380" max="4380" width="14.140625" style="1" customWidth="1"/>
    <col min="4381" max="4381" width="13.28515625" style="1" customWidth="1"/>
    <col min="4382" max="4391" width="18.28515625" style="1" customWidth="1"/>
    <col min="4392" max="4392" width="12.7109375" style="1" customWidth="1"/>
    <col min="4393" max="4393" width="12.28515625" style="1" customWidth="1"/>
    <col min="4394" max="4394" width="13.42578125" style="1" customWidth="1"/>
    <col min="4395" max="4397" width="18.28515625" style="1" customWidth="1"/>
    <col min="4398" max="4398" width="11.140625" style="1" bestFit="1" customWidth="1"/>
    <col min="4399" max="4399" width="10.42578125" style="1" bestFit="1" customWidth="1"/>
    <col min="4400" max="4400" width="9.85546875" style="1" bestFit="1" customWidth="1"/>
    <col min="4401" max="4614" width="11.42578125" style="1"/>
    <col min="4615" max="4615" width="26.140625" style="1" bestFit="1" customWidth="1"/>
    <col min="4616" max="4629" width="18.28515625" style="1" customWidth="1"/>
    <col min="4630" max="4630" width="14" style="1" customWidth="1"/>
    <col min="4631" max="4631" width="13.42578125" style="1" customWidth="1"/>
    <col min="4632" max="4632" width="13.28515625" style="1" customWidth="1"/>
    <col min="4633" max="4633" width="12.42578125" style="1" customWidth="1"/>
    <col min="4634" max="4634" width="13" style="1" customWidth="1"/>
    <col min="4635" max="4635" width="12.42578125" style="1" customWidth="1"/>
    <col min="4636" max="4636" width="14.140625" style="1" customWidth="1"/>
    <col min="4637" max="4637" width="13.28515625" style="1" customWidth="1"/>
    <col min="4638" max="4647" width="18.28515625" style="1" customWidth="1"/>
    <col min="4648" max="4648" width="12.7109375" style="1" customWidth="1"/>
    <col min="4649" max="4649" width="12.28515625" style="1" customWidth="1"/>
    <col min="4650" max="4650" width="13.42578125" style="1" customWidth="1"/>
    <col min="4651" max="4653" width="18.28515625" style="1" customWidth="1"/>
    <col min="4654" max="4654" width="11.140625" style="1" bestFit="1" customWidth="1"/>
    <col min="4655" max="4655" width="10.42578125" style="1" bestFit="1" customWidth="1"/>
    <col min="4656" max="4656" width="9.85546875" style="1" bestFit="1" customWidth="1"/>
    <col min="4657" max="4870" width="11.42578125" style="1"/>
    <col min="4871" max="4871" width="26.140625" style="1" bestFit="1" customWidth="1"/>
    <col min="4872" max="4885" width="18.28515625" style="1" customWidth="1"/>
    <col min="4886" max="4886" width="14" style="1" customWidth="1"/>
    <col min="4887" max="4887" width="13.42578125" style="1" customWidth="1"/>
    <col min="4888" max="4888" width="13.28515625" style="1" customWidth="1"/>
    <col min="4889" max="4889" width="12.42578125" style="1" customWidth="1"/>
    <col min="4890" max="4890" width="13" style="1" customWidth="1"/>
    <col min="4891" max="4891" width="12.42578125" style="1" customWidth="1"/>
    <col min="4892" max="4892" width="14.140625" style="1" customWidth="1"/>
    <col min="4893" max="4893" width="13.28515625" style="1" customWidth="1"/>
    <col min="4894" max="4903" width="18.28515625" style="1" customWidth="1"/>
    <col min="4904" max="4904" width="12.7109375" style="1" customWidth="1"/>
    <col min="4905" max="4905" width="12.28515625" style="1" customWidth="1"/>
    <col min="4906" max="4906" width="13.42578125" style="1" customWidth="1"/>
    <col min="4907" max="4909" width="18.28515625" style="1" customWidth="1"/>
    <col min="4910" max="4910" width="11.140625" style="1" bestFit="1" customWidth="1"/>
    <col min="4911" max="4911" width="10.42578125" style="1" bestFit="1" customWidth="1"/>
    <col min="4912" max="4912" width="9.85546875" style="1" bestFit="1" customWidth="1"/>
    <col min="4913" max="5126" width="11.42578125" style="1"/>
    <col min="5127" max="5127" width="26.140625" style="1" bestFit="1" customWidth="1"/>
    <col min="5128" max="5141" width="18.28515625" style="1" customWidth="1"/>
    <col min="5142" max="5142" width="14" style="1" customWidth="1"/>
    <col min="5143" max="5143" width="13.42578125" style="1" customWidth="1"/>
    <col min="5144" max="5144" width="13.28515625" style="1" customWidth="1"/>
    <col min="5145" max="5145" width="12.42578125" style="1" customWidth="1"/>
    <col min="5146" max="5146" width="13" style="1" customWidth="1"/>
    <col min="5147" max="5147" width="12.42578125" style="1" customWidth="1"/>
    <col min="5148" max="5148" width="14.140625" style="1" customWidth="1"/>
    <col min="5149" max="5149" width="13.28515625" style="1" customWidth="1"/>
    <col min="5150" max="5159" width="18.28515625" style="1" customWidth="1"/>
    <col min="5160" max="5160" width="12.7109375" style="1" customWidth="1"/>
    <col min="5161" max="5161" width="12.28515625" style="1" customWidth="1"/>
    <col min="5162" max="5162" width="13.42578125" style="1" customWidth="1"/>
    <col min="5163" max="5165" width="18.28515625" style="1" customWidth="1"/>
    <col min="5166" max="5166" width="11.140625" style="1" bestFit="1" customWidth="1"/>
    <col min="5167" max="5167" width="10.42578125" style="1" bestFit="1" customWidth="1"/>
    <col min="5168" max="5168" width="9.85546875" style="1" bestFit="1" customWidth="1"/>
    <col min="5169" max="5382" width="11.42578125" style="1"/>
    <col min="5383" max="5383" width="26.140625" style="1" bestFit="1" customWidth="1"/>
    <col min="5384" max="5397" width="18.28515625" style="1" customWidth="1"/>
    <col min="5398" max="5398" width="14" style="1" customWidth="1"/>
    <col min="5399" max="5399" width="13.42578125" style="1" customWidth="1"/>
    <col min="5400" max="5400" width="13.28515625" style="1" customWidth="1"/>
    <col min="5401" max="5401" width="12.42578125" style="1" customWidth="1"/>
    <col min="5402" max="5402" width="13" style="1" customWidth="1"/>
    <col min="5403" max="5403" width="12.42578125" style="1" customWidth="1"/>
    <col min="5404" max="5404" width="14.140625" style="1" customWidth="1"/>
    <col min="5405" max="5405" width="13.28515625" style="1" customWidth="1"/>
    <col min="5406" max="5415" width="18.28515625" style="1" customWidth="1"/>
    <col min="5416" max="5416" width="12.7109375" style="1" customWidth="1"/>
    <col min="5417" max="5417" width="12.28515625" style="1" customWidth="1"/>
    <col min="5418" max="5418" width="13.42578125" style="1" customWidth="1"/>
    <col min="5419" max="5421" width="18.28515625" style="1" customWidth="1"/>
    <col min="5422" max="5422" width="11.140625" style="1" bestFit="1" customWidth="1"/>
    <col min="5423" max="5423" width="10.42578125" style="1" bestFit="1" customWidth="1"/>
    <col min="5424" max="5424" width="9.85546875" style="1" bestFit="1" customWidth="1"/>
    <col min="5425" max="5638" width="11.42578125" style="1"/>
    <col min="5639" max="5639" width="26.140625" style="1" bestFit="1" customWidth="1"/>
    <col min="5640" max="5653" width="18.28515625" style="1" customWidth="1"/>
    <col min="5654" max="5654" width="14" style="1" customWidth="1"/>
    <col min="5655" max="5655" width="13.42578125" style="1" customWidth="1"/>
    <col min="5656" max="5656" width="13.28515625" style="1" customWidth="1"/>
    <col min="5657" max="5657" width="12.42578125" style="1" customWidth="1"/>
    <col min="5658" max="5658" width="13" style="1" customWidth="1"/>
    <col min="5659" max="5659" width="12.42578125" style="1" customWidth="1"/>
    <col min="5660" max="5660" width="14.140625" style="1" customWidth="1"/>
    <col min="5661" max="5661" width="13.28515625" style="1" customWidth="1"/>
    <col min="5662" max="5671" width="18.28515625" style="1" customWidth="1"/>
    <col min="5672" max="5672" width="12.7109375" style="1" customWidth="1"/>
    <col min="5673" max="5673" width="12.28515625" style="1" customWidth="1"/>
    <col min="5674" max="5674" width="13.42578125" style="1" customWidth="1"/>
    <col min="5675" max="5677" width="18.28515625" style="1" customWidth="1"/>
    <col min="5678" max="5678" width="11.140625" style="1" bestFit="1" customWidth="1"/>
    <col min="5679" max="5679" width="10.42578125" style="1" bestFit="1" customWidth="1"/>
    <col min="5680" max="5680" width="9.85546875" style="1" bestFit="1" customWidth="1"/>
    <col min="5681" max="5894" width="11.42578125" style="1"/>
    <col min="5895" max="5895" width="26.140625" style="1" bestFit="1" customWidth="1"/>
    <col min="5896" max="5909" width="18.28515625" style="1" customWidth="1"/>
    <col min="5910" max="5910" width="14" style="1" customWidth="1"/>
    <col min="5911" max="5911" width="13.42578125" style="1" customWidth="1"/>
    <col min="5912" max="5912" width="13.28515625" style="1" customWidth="1"/>
    <col min="5913" max="5913" width="12.42578125" style="1" customWidth="1"/>
    <col min="5914" max="5914" width="13" style="1" customWidth="1"/>
    <col min="5915" max="5915" width="12.42578125" style="1" customWidth="1"/>
    <col min="5916" max="5916" width="14.140625" style="1" customWidth="1"/>
    <col min="5917" max="5917" width="13.28515625" style="1" customWidth="1"/>
    <col min="5918" max="5927" width="18.28515625" style="1" customWidth="1"/>
    <col min="5928" max="5928" width="12.7109375" style="1" customWidth="1"/>
    <col min="5929" max="5929" width="12.28515625" style="1" customWidth="1"/>
    <col min="5930" max="5930" width="13.42578125" style="1" customWidth="1"/>
    <col min="5931" max="5933" width="18.28515625" style="1" customWidth="1"/>
    <col min="5934" max="5934" width="11.140625" style="1" bestFit="1" customWidth="1"/>
    <col min="5935" max="5935" width="10.42578125" style="1" bestFit="1" customWidth="1"/>
    <col min="5936" max="5936" width="9.85546875" style="1" bestFit="1" customWidth="1"/>
    <col min="5937" max="6150" width="11.42578125" style="1"/>
    <col min="6151" max="6151" width="26.140625" style="1" bestFit="1" customWidth="1"/>
    <col min="6152" max="6165" width="18.28515625" style="1" customWidth="1"/>
    <col min="6166" max="6166" width="14" style="1" customWidth="1"/>
    <col min="6167" max="6167" width="13.42578125" style="1" customWidth="1"/>
    <col min="6168" max="6168" width="13.28515625" style="1" customWidth="1"/>
    <col min="6169" max="6169" width="12.42578125" style="1" customWidth="1"/>
    <col min="6170" max="6170" width="13" style="1" customWidth="1"/>
    <col min="6171" max="6171" width="12.42578125" style="1" customWidth="1"/>
    <col min="6172" max="6172" width="14.140625" style="1" customWidth="1"/>
    <col min="6173" max="6173" width="13.28515625" style="1" customWidth="1"/>
    <col min="6174" max="6183" width="18.28515625" style="1" customWidth="1"/>
    <col min="6184" max="6184" width="12.7109375" style="1" customWidth="1"/>
    <col min="6185" max="6185" width="12.28515625" style="1" customWidth="1"/>
    <col min="6186" max="6186" width="13.42578125" style="1" customWidth="1"/>
    <col min="6187" max="6189" width="18.28515625" style="1" customWidth="1"/>
    <col min="6190" max="6190" width="11.140625" style="1" bestFit="1" customWidth="1"/>
    <col min="6191" max="6191" width="10.42578125" style="1" bestFit="1" customWidth="1"/>
    <col min="6192" max="6192" width="9.85546875" style="1" bestFit="1" customWidth="1"/>
    <col min="6193" max="6406" width="11.42578125" style="1"/>
    <col min="6407" max="6407" width="26.140625" style="1" bestFit="1" customWidth="1"/>
    <col min="6408" max="6421" width="18.28515625" style="1" customWidth="1"/>
    <col min="6422" max="6422" width="14" style="1" customWidth="1"/>
    <col min="6423" max="6423" width="13.42578125" style="1" customWidth="1"/>
    <col min="6424" max="6424" width="13.28515625" style="1" customWidth="1"/>
    <col min="6425" max="6425" width="12.42578125" style="1" customWidth="1"/>
    <col min="6426" max="6426" width="13" style="1" customWidth="1"/>
    <col min="6427" max="6427" width="12.42578125" style="1" customWidth="1"/>
    <col min="6428" max="6428" width="14.140625" style="1" customWidth="1"/>
    <col min="6429" max="6429" width="13.28515625" style="1" customWidth="1"/>
    <col min="6430" max="6439" width="18.28515625" style="1" customWidth="1"/>
    <col min="6440" max="6440" width="12.7109375" style="1" customWidth="1"/>
    <col min="6441" max="6441" width="12.28515625" style="1" customWidth="1"/>
    <col min="6442" max="6442" width="13.42578125" style="1" customWidth="1"/>
    <col min="6443" max="6445" width="18.28515625" style="1" customWidth="1"/>
    <col min="6446" max="6446" width="11.140625" style="1" bestFit="1" customWidth="1"/>
    <col min="6447" max="6447" width="10.42578125" style="1" bestFit="1" customWidth="1"/>
    <col min="6448" max="6448" width="9.85546875" style="1" bestFit="1" customWidth="1"/>
    <col min="6449" max="6662" width="11.42578125" style="1"/>
    <col min="6663" max="6663" width="26.140625" style="1" bestFit="1" customWidth="1"/>
    <col min="6664" max="6677" width="18.28515625" style="1" customWidth="1"/>
    <col min="6678" max="6678" width="14" style="1" customWidth="1"/>
    <col min="6679" max="6679" width="13.42578125" style="1" customWidth="1"/>
    <col min="6680" max="6680" width="13.28515625" style="1" customWidth="1"/>
    <col min="6681" max="6681" width="12.42578125" style="1" customWidth="1"/>
    <col min="6682" max="6682" width="13" style="1" customWidth="1"/>
    <col min="6683" max="6683" width="12.42578125" style="1" customWidth="1"/>
    <col min="6684" max="6684" width="14.140625" style="1" customWidth="1"/>
    <col min="6685" max="6685" width="13.28515625" style="1" customWidth="1"/>
    <col min="6686" max="6695" width="18.28515625" style="1" customWidth="1"/>
    <col min="6696" max="6696" width="12.7109375" style="1" customWidth="1"/>
    <col min="6697" max="6697" width="12.28515625" style="1" customWidth="1"/>
    <col min="6698" max="6698" width="13.42578125" style="1" customWidth="1"/>
    <col min="6699" max="6701" width="18.28515625" style="1" customWidth="1"/>
    <col min="6702" max="6702" width="11.140625" style="1" bestFit="1" customWidth="1"/>
    <col min="6703" max="6703" width="10.42578125" style="1" bestFit="1" customWidth="1"/>
    <col min="6704" max="6704" width="9.85546875" style="1" bestFit="1" customWidth="1"/>
    <col min="6705" max="6918" width="11.42578125" style="1"/>
    <col min="6919" max="6919" width="26.140625" style="1" bestFit="1" customWidth="1"/>
    <col min="6920" max="6933" width="18.28515625" style="1" customWidth="1"/>
    <col min="6934" max="6934" width="14" style="1" customWidth="1"/>
    <col min="6935" max="6935" width="13.42578125" style="1" customWidth="1"/>
    <col min="6936" max="6936" width="13.28515625" style="1" customWidth="1"/>
    <col min="6937" max="6937" width="12.42578125" style="1" customWidth="1"/>
    <col min="6938" max="6938" width="13" style="1" customWidth="1"/>
    <col min="6939" max="6939" width="12.42578125" style="1" customWidth="1"/>
    <col min="6940" max="6940" width="14.140625" style="1" customWidth="1"/>
    <col min="6941" max="6941" width="13.28515625" style="1" customWidth="1"/>
    <col min="6942" max="6951" width="18.28515625" style="1" customWidth="1"/>
    <col min="6952" max="6952" width="12.7109375" style="1" customWidth="1"/>
    <col min="6953" max="6953" width="12.28515625" style="1" customWidth="1"/>
    <col min="6954" max="6954" width="13.42578125" style="1" customWidth="1"/>
    <col min="6955" max="6957" width="18.28515625" style="1" customWidth="1"/>
    <col min="6958" max="6958" width="11.140625" style="1" bestFit="1" customWidth="1"/>
    <col min="6959" max="6959" width="10.42578125" style="1" bestFit="1" customWidth="1"/>
    <col min="6960" max="6960" width="9.85546875" style="1" bestFit="1" customWidth="1"/>
    <col min="6961" max="7174" width="11.42578125" style="1"/>
    <col min="7175" max="7175" width="26.140625" style="1" bestFit="1" customWidth="1"/>
    <col min="7176" max="7189" width="18.28515625" style="1" customWidth="1"/>
    <col min="7190" max="7190" width="14" style="1" customWidth="1"/>
    <col min="7191" max="7191" width="13.42578125" style="1" customWidth="1"/>
    <col min="7192" max="7192" width="13.28515625" style="1" customWidth="1"/>
    <col min="7193" max="7193" width="12.42578125" style="1" customWidth="1"/>
    <col min="7194" max="7194" width="13" style="1" customWidth="1"/>
    <col min="7195" max="7195" width="12.42578125" style="1" customWidth="1"/>
    <col min="7196" max="7196" width="14.140625" style="1" customWidth="1"/>
    <col min="7197" max="7197" width="13.28515625" style="1" customWidth="1"/>
    <col min="7198" max="7207" width="18.28515625" style="1" customWidth="1"/>
    <col min="7208" max="7208" width="12.7109375" style="1" customWidth="1"/>
    <col min="7209" max="7209" width="12.28515625" style="1" customWidth="1"/>
    <col min="7210" max="7210" width="13.42578125" style="1" customWidth="1"/>
    <col min="7211" max="7213" width="18.28515625" style="1" customWidth="1"/>
    <col min="7214" max="7214" width="11.140625" style="1" bestFit="1" customWidth="1"/>
    <col min="7215" max="7215" width="10.42578125" style="1" bestFit="1" customWidth="1"/>
    <col min="7216" max="7216" width="9.85546875" style="1" bestFit="1" customWidth="1"/>
    <col min="7217" max="7430" width="11.42578125" style="1"/>
    <col min="7431" max="7431" width="26.140625" style="1" bestFit="1" customWidth="1"/>
    <col min="7432" max="7445" width="18.28515625" style="1" customWidth="1"/>
    <col min="7446" max="7446" width="14" style="1" customWidth="1"/>
    <col min="7447" max="7447" width="13.42578125" style="1" customWidth="1"/>
    <col min="7448" max="7448" width="13.28515625" style="1" customWidth="1"/>
    <col min="7449" max="7449" width="12.42578125" style="1" customWidth="1"/>
    <col min="7450" max="7450" width="13" style="1" customWidth="1"/>
    <col min="7451" max="7451" width="12.42578125" style="1" customWidth="1"/>
    <col min="7452" max="7452" width="14.140625" style="1" customWidth="1"/>
    <col min="7453" max="7453" width="13.28515625" style="1" customWidth="1"/>
    <col min="7454" max="7463" width="18.28515625" style="1" customWidth="1"/>
    <col min="7464" max="7464" width="12.7109375" style="1" customWidth="1"/>
    <col min="7465" max="7465" width="12.28515625" style="1" customWidth="1"/>
    <col min="7466" max="7466" width="13.42578125" style="1" customWidth="1"/>
    <col min="7467" max="7469" width="18.28515625" style="1" customWidth="1"/>
    <col min="7470" max="7470" width="11.140625" style="1" bestFit="1" customWidth="1"/>
    <col min="7471" max="7471" width="10.42578125" style="1" bestFit="1" customWidth="1"/>
    <col min="7472" max="7472" width="9.85546875" style="1" bestFit="1" customWidth="1"/>
    <col min="7473" max="7686" width="11.42578125" style="1"/>
    <col min="7687" max="7687" width="26.140625" style="1" bestFit="1" customWidth="1"/>
    <col min="7688" max="7701" width="18.28515625" style="1" customWidth="1"/>
    <col min="7702" max="7702" width="14" style="1" customWidth="1"/>
    <col min="7703" max="7703" width="13.42578125" style="1" customWidth="1"/>
    <col min="7704" max="7704" width="13.28515625" style="1" customWidth="1"/>
    <col min="7705" max="7705" width="12.42578125" style="1" customWidth="1"/>
    <col min="7706" max="7706" width="13" style="1" customWidth="1"/>
    <col min="7707" max="7707" width="12.42578125" style="1" customWidth="1"/>
    <col min="7708" max="7708" width="14.140625" style="1" customWidth="1"/>
    <col min="7709" max="7709" width="13.28515625" style="1" customWidth="1"/>
    <col min="7710" max="7719" width="18.28515625" style="1" customWidth="1"/>
    <col min="7720" max="7720" width="12.7109375" style="1" customWidth="1"/>
    <col min="7721" max="7721" width="12.28515625" style="1" customWidth="1"/>
    <col min="7722" max="7722" width="13.42578125" style="1" customWidth="1"/>
    <col min="7723" max="7725" width="18.28515625" style="1" customWidth="1"/>
    <col min="7726" max="7726" width="11.140625" style="1" bestFit="1" customWidth="1"/>
    <col min="7727" max="7727" width="10.42578125" style="1" bestFit="1" customWidth="1"/>
    <col min="7728" max="7728" width="9.85546875" style="1" bestFit="1" customWidth="1"/>
    <col min="7729" max="7942" width="11.42578125" style="1"/>
    <col min="7943" max="7943" width="26.140625" style="1" bestFit="1" customWidth="1"/>
    <col min="7944" max="7957" width="18.28515625" style="1" customWidth="1"/>
    <col min="7958" max="7958" width="14" style="1" customWidth="1"/>
    <col min="7959" max="7959" width="13.42578125" style="1" customWidth="1"/>
    <col min="7960" max="7960" width="13.28515625" style="1" customWidth="1"/>
    <col min="7961" max="7961" width="12.42578125" style="1" customWidth="1"/>
    <col min="7962" max="7962" width="13" style="1" customWidth="1"/>
    <col min="7963" max="7963" width="12.42578125" style="1" customWidth="1"/>
    <col min="7964" max="7964" width="14.140625" style="1" customWidth="1"/>
    <col min="7965" max="7965" width="13.28515625" style="1" customWidth="1"/>
    <col min="7966" max="7975" width="18.28515625" style="1" customWidth="1"/>
    <col min="7976" max="7976" width="12.7109375" style="1" customWidth="1"/>
    <col min="7977" max="7977" width="12.28515625" style="1" customWidth="1"/>
    <col min="7978" max="7978" width="13.42578125" style="1" customWidth="1"/>
    <col min="7979" max="7981" width="18.28515625" style="1" customWidth="1"/>
    <col min="7982" max="7982" width="11.140625" style="1" bestFit="1" customWidth="1"/>
    <col min="7983" max="7983" width="10.42578125" style="1" bestFit="1" customWidth="1"/>
    <col min="7984" max="7984" width="9.85546875" style="1" bestFit="1" customWidth="1"/>
    <col min="7985" max="8198" width="11.42578125" style="1"/>
    <col min="8199" max="8199" width="26.140625" style="1" bestFit="1" customWidth="1"/>
    <col min="8200" max="8213" width="18.28515625" style="1" customWidth="1"/>
    <col min="8214" max="8214" width="14" style="1" customWidth="1"/>
    <col min="8215" max="8215" width="13.42578125" style="1" customWidth="1"/>
    <col min="8216" max="8216" width="13.28515625" style="1" customWidth="1"/>
    <col min="8217" max="8217" width="12.42578125" style="1" customWidth="1"/>
    <col min="8218" max="8218" width="13" style="1" customWidth="1"/>
    <col min="8219" max="8219" width="12.42578125" style="1" customWidth="1"/>
    <col min="8220" max="8220" width="14.140625" style="1" customWidth="1"/>
    <col min="8221" max="8221" width="13.28515625" style="1" customWidth="1"/>
    <col min="8222" max="8231" width="18.28515625" style="1" customWidth="1"/>
    <col min="8232" max="8232" width="12.7109375" style="1" customWidth="1"/>
    <col min="8233" max="8233" width="12.28515625" style="1" customWidth="1"/>
    <col min="8234" max="8234" width="13.42578125" style="1" customWidth="1"/>
    <col min="8235" max="8237" width="18.28515625" style="1" customWidth="1"/>
    <col min="8238" max="8238" width="11.140625" style="1" bestFit="1" customWidth="1"/>
    <col min="8239" max="8239" width="10.42578125" style="1" bestFit="1" customWidth="1"/>
    <col min="8240" max="8240" width="9.85546875" style="1" bestFit="1" customWidth="1"/>
    <col min="8241" max="8454" width="11.42578125" style="1"/>
    <col min="8455" max="8455" width="26.140625" style="1" bestFit="1" customWidth="1"/>
    <col min="8456" max="8469" width="18.28515625" style="1" customWidth="1"/>
    <col min="8470" max="8470" width="14" style="1" customWidth="1"/>
    <col min="8471" max="8471" width="13.42578125" style="1" customWidth="1"/>
    <col min="8472" max="8472" width="13.28515625" style="1" customWidth="1"/>
    <col min="8473" max="8473" width="12.42578125" style="1" customWidth="1"/>
    <col min="8474" max="8474" width="13" style="1" customWidth="1"/>
    <col min="8475" max="8475" width="12.42578125" style="1" customWidth="1"/>
    <col min="8476" max="8476" width="14.140625" style="1" customWidth="1"/>
    <col min="8477" max="8477" width="13.28515625" style="1" customWidth="1"/>
    <col min="8478" max="8487" width="18.28515625" style="1" customWidth="1"/>
    <col min="8488" max="8488" width="12.7109375" style="1" customWidth="1"/>
    <col min="8489" max="8489" width="12.28515625" style="1" customWidth="1"/>
    <col min="8490" max="8490" width="13.42578125" style="1" customWidth="1"/>
    <col min="8491" max="8493" width="18.28515625" style="1" customWidth="1"/>
    <col min="8494" max="8494" width="11.140625" style="1" bestFit="1" customWidth="1"/>
    <col min="8495" max="8495" width="10.42578125" style="1" bestFit="1" customWidth="1"/>
    <col min="8496" max="8496" width="9.85546875" style="1" bestFit="1" customWidth="1"/>
    <col min="8497" max="8710" width="11.42578125" style="1"/>
    <col min="8711" max="8711" width="26.140625" style="1" bestFit="1" customWidth="1"/>
    <col min="8712" max="8725" width="18.28515625" style="1" customWidth="1"/>
    <col min="8726" max="8726" width="14" style="1" customWidth="1"/>
    <col min="8727" max="8727" width="13.42578125" style="1" customWidth="1"/>
    <col min="8728" max="8728" width="13.28515625" style="1" customWidth="1"/>
    <col min="8729" max="8729" width="12.42578125" style="1" customWidth="1"/>
    <col min="8730" max="8730" width="13" style="1" customWidth="1"/>
    <col min="8731" max="8731" width="12.42578125" style="1" customWidth="1"/>
    <col min="8732" max="8732" width="14.140625" style="1" customWidth="1"/>
    <col min="8733" max="8733" width="13.28515625" style="1" customWidth="1"/>
    <col min="8734" max="8743" width="18.28515625" style="1" customWidth="1"/>
    <col min="8744" max="8744" width="12.7109375" style="1" customWidth="1"/>
    <col min="8745" max="8745" width="12.28515625" style="1" customWidth="1"/>
    <col min="8746" max="8746" width="13.42578125" style="1" customWidth="1"/>
    <col min="8747" max="8749" width="18.28515625" style="1" customWidth="1"/>
    <col min="8750" max="8750" width="11.140625" style="1" bestFit="1" customWidth="1"/>
    <col min="8751" max="8751" width="10.42578125" style="1" bestFit="1" customWidth="1"/>
    <col min="8752" max="8752" width="9.85546875" style="1" bestFit="1" customWidth="1"/>
    <col min="8753" max="8966" width="11.42578125" style="1"/>
    <col min="8967" max="8967" width="26.140625" style="1" bestFit="1" customWidth="1"/>
    <col min="8968" max="8981" width="18.28515625" style="1" customWidth="1"/>
    <col min="8982" max="8982" width="14" style="1" customWidth="1"/>
    <col min="8983" max="8983" width="13.42578125" style="1" customWidth="1"/>
    <col min="8984" max="8984" width="13.28515625" style="1" customWidth="1"/>
    <col min="8985" max="8985" width="12.42578125" style="1" customWidth="1"/>
    <col min="8986" max="8986" width="13" style="1" customWidth="1"/>
    <col min="8987" max="8987" width="12.42578125" style="1" customWidth="1"/>
    <col min="8988" max="8988" width="14.140625" style="1" customWidth="1"/>
    <col min="8989" max="8989" width="13.28515625" style="1" customWidth="1"/>
    <col min="8990" max="8999" width="18.28515625" style="1" customWidth="1"/>
    <col min="9000" max="9000" width="12.7109375" style="1" customWidth="1"/>
    <col min="9001" max="9001" width="12.28515625" style="1" customWidth="1"/>
    <col min="9002" max="9002" width="13.42578125" style="1" customWidth="1"/>
    <col min="9003" max="9005" width="18.28515625" style="1" customWidth="1"/>
    <col min="9006" max="9006" width="11.140625" style="1" bestFit="1" customWidth="1"/>
    <col min="9007" max="9007" width="10.42578125" style="1" bestFit="1" customWidth="1"/>
    <col min="9008" max="9008" width="9.85546875" style="1" bestFit="1" customWidth="1"/>
    <col min="9009" max="9222" width="11.42578125" style="1"/>
    <col min="9223" max="9223" width="26.140625" style="1" bestFit="1" customWidth="1"/>
    <col min="9224" max="9237" width="18.28515625" style="1" customWidth="1"/>
    <col min="9238" max="9238" width="14" style="1" customWidth="1"/>
    <col min="9239" max="9239" width="13.42578125" style="1" customWidth="1"/>
    <col min="9240" max="9240" width="13.28515625" style="1" customWidth="1"/>
    <col min="9241" max="9241" width="12.42578125" style="1" customWidth="1"/>
    <col min="9242" max="9242" width="13" style="1" customWidth="1"/>
    <col min="9243" max="9243" width="12.42578125" style="1" customWidth="1"/>
    <col min="9244" max="9244" width="14.140625" style="1" customWidth="1"/>
    <col min="9245" max="9245" width="13.28515625" style="1" customWidth="1"/>
    <col min="9246" max="9255" width="18.28515625" style="1" customWidth="1"/>
    <col min="9256" max="9256" width="12.7109375" style="1" customWidth="1"/>
    <col min="9257" max="9257" width="12.28515625" style="1" customWidth="1"/>
    <col min="9258" max="9258" width="13.42578125" style="1" customWidth="1"/>
    <col min="9259" max="9261" width="18.28515625" style="1" customWidth="1"/>
    <col min="9262" max="9262" width="11.140625" style="1" bestFit="1" customWidth="1"/>
    <col min="9263" max="9263" width="10.42578125" style="1" bestFit="1" customWidth="1"/>
    <col min="9264" max="9264" width="9.85546875" style="1" bestFit="1" customWidth="1"/>
    <col min="9265" max="9478" width="11.42578125" style="1"/>
    <col min="9479" max="9479" width="26.140625" style="1" bestFit="1" customWidth="1"/>
    <col min="9480" max="9493" width="18.28515625" style="1" customWidth="1"/>
    <col min="9494" max="9494" width="14" style="1" customWidth="1"/>
    <col min="9495" max="9495" width="13.42578125" style="1" customWidth="1"/>
    <col min="9496" max="9496" width="13.28515625" style="1" customWidth="1"/>
    <col min="9497" max="9497" width="12.42578125" style="1" customWidth="1"/>
    <col min="9498" max="9498" width="13" style="1" customWidth="1"/>
    <col min="9499" max="9499" width="12.42578125" style="1" customWidth="1"/>
    <col min="9500" max="9500" width="14.140625" style="1" customWidth="1"/>
    <col min="9501" max="9501" width="13.28515625" style="1" customWidth="1"/>
    <col min="9502" max="9511" width="18.28515625" style="1" customWidth="1"/>
    <col min="9512" max="9512" width="12.7109375" style="1" customWidth="1"/>
    <col min="9513" max="9513" width="12.28515625" style="1" customWidth="1"/>
    <col min="9514" max="9514" width="13.42578125" style="1" customWidth="1"/>
    <col min="9515" max="9517" width="18.28515625" style="1" customWidth="1"/>
    <col min="9518" max="9518" width="11.140625" style="1" bestFit="1" customWidth="1"/>
    <col min="9519" max="9519" width="10.42578125" style="1" bestFit="1" customWidth="1"/>
    <col min="9520" max="9520" width="9.85546875" style="1" bestFit="1" customWidth="1"/>
    <col min="9521" max="9734" width="11.42578125" style="1"/>
    <col min="9735" max="9735" width="26.140625" style="1" bestFit="1" customWidth="1"/>
    <col min="9736" max="9749" width="18.28515625" style="1" customWidth="1"/>
    <col min="9750" max="9750" width="14" style="1" customWidth="1"/>
    <col min="9751" max="9751" width="13.42578125" style="1" customWidth="1"/>
    <col min="9752" max="9752" width="13.28515625" style="1" customWidth="1"/>
    <col min="9753" max="9753" width="12.42578125" style="1" customWidth="1"/>
    <col min="9754" max="9754" width="13" style="1" customWidth="1"/>
    <col min="9755" max="9755" width="12.42578125" style="1" customWidth="1"/>
    <col min="9756" max="9756" width="14.140625" style="1" customWidth="1"/>
    <col min="9757" max="9757" width="13.28515625" style="1" customWidth="1"/>
    <col min="9758" max="9767" width="18.28515625" style="1" customWidth="1"/>
    <col min="9768" max="9768" width="12.7109375" style="1" customWidth="1"/>
    <col min="9769" max="9769" width="12.28515625" style="1" customWidth="1"/>
    <col min="9770" max="9770" width="13.42578125" style="1" customWidth="1"/>
    <col min="9771" max="9773" width="18.28515625" style="1" customWidth="1"/>
    <col min="9774" max="9774" width="11.140625" style="1" bestFit="1" customWidth="1"/>
    <col min="9775" max="9775" width="10.42578125" style="1" bestFit="1" customWidth="1"/>
    <col min="9776" max="9776" width="9.85546875" style="1" bestFit="1" customWidth="1"/>
    <col min="9777" max="9990" width="11.42578125" style="1"/>
    <col min="9991" max="9991" width="26.140625" style="1" bestFit="1" customWidth="1"/>
    <col min="9992" max="10005" width="18.28515625" style="1" customWidth="1"/>
    <col min="10006" max="10006" width="14" style="1" customWidth="1"/>
    <col min="10007" max="10007" width="13.42578125" style="1" customWidth="1"/>
    <col min="10008" max="10008" width="13.28515625" style="1" customWidth="1"/>
    <col min="10009" max="10009" width="12.42578125" style="1" customWidth="1"/>
    <col min="10010" max="10010" width="13" style="1" customWidth="1"/>
    <col min="10011" max="10011" width="12.42578125" style="1" customWidth="1"/>
    <col min="10012" max="10012" width="14.140625" style="1" customWidth="1"/>
    <col min="10013" max="10013" width="13.28515625" style="1" customWidth="1"/>
    <col min="10014" max="10023" width="18.28515625" style="1" customWidth="1"/>
    <col min="10024" max="10024" width="12.7109375" style="1" customWidth="1"/>
    <col min="10025" max="10025" width="12.28515625" style="1" customWidth="1"/>
    <col min="10026" max="10026" width="13.42578125" style="1" customWidth="1"/>
    <col min="10027" max="10029" width="18.28515625" style="1" customWidth="1"/>
    <col min="10030" max="10030" width="11.140625" style="1" bestFit="1" customWidth="1"/>
    <col min="10031" max="10031" width="10.42578125" style="1" bestFit="1" customWidth="1"/>
    <col min="10032" max="10032" width="9.85546875" style="1" bestFit="1" customWidth="1"/>
    <col min="10033" max="10246" width="11.42578125" style="1"/>
    <col min="10247" max="10247" width="26.140625" style="1" bestFit="1" customWidth="1"/>
    <col min="10248" max="10261" width="18.28515625" style="1" customWidth="1"/>
    <col min="10262" max="10262" width="14" style="1" customWidth="1"/>
    <col min="10263" max="10263" width="13.42578125" style="1" customWidth="1"/>
    <col min="10264" max="10264" width="13.28515625" style="1" customWidth="1"/>
    <col min="10265" max="10265" width="12.42578125" style="1" customWidth="1"/>
    <col min="10266" max="10266" width="13" style="1" customWidth="1"/>
    <col min="10267" max="10267" width="12.42578125" style="1" customWidth="1"/>
    <col min="10268" max="10268" width="14.140625" style="1" customWidth="1"/>
    <col min="10269" max="10269" width="13.28515625" style="1" customWidth="1"/>
    <col min="10270" max="10279" width="18.28515625" style="1" customWidth="1"/>
    <col min="10280" max="10280" width="12.7109375" style="1" customWidth="1"/>
    <col min="10281" max="10281" width="12.28515625" style="1" customWidth="1"/>
    <col min="10282" max="10282" width="13.42578125" style="1" customWidth="1"/>
    <col min="10283" max="10285" width="18.28515625" style="1" customWidth="1"/>
    <col min="10286" max="10286" width="11.140625" style="1" bestFit="1" customWidth="1"/>
    <col min="10287" max="10287" width="10.42578125" style="1" bestFit="1" customWidth="1"/>
    <col min="10288" max="10288" width="9.85546875" style="1" bestFit="1" customWidth="1"/>
    <col min="10289" max="10502" width="11.42578125" style="1"/>
    <col min="10503" max="10503" width="26.140625" style="1" bestFit="1" customWidth="1"/>
    <col min="10504" max="10517" width="18.28515625" style="1" customWidth="1"/>
    <col min="10518" max="10518" width="14" style="1" customWidth="1"/>
    <col min="10519" max="10519" width="13.42578125" style="1" customWidth="1"/>
    <col min="10520" max="10520" width="13.28515625" style="1" customWidth="1"/>
    <col min="10521" max="10521" width="12.42578125" style="1" customWidth="1"/>
    <col min="10522" max="10522" width="13" style="1" customWidth="1"/>
    <col min="10523" max="10523" width="12.42578125" style="1" customWidth="1"/>
    <col min="10524" max="10524" width="14.140625" style="1" customWidth="1"/>
    <col min="10525" max="10525" width="13.28515625" style="1" customWidth="1"/>
    <col min="10526" max="10535" width="18.28515625" style="1" customWidth="1"/>
    <col min="10536" max="10536" width="12.7109375" style="1" customWidth="1"/>
    <col min="10537" max="10537" width="12.28515625" style="1" customWidth="1"/>
    <col min="10538" max="10538" width="13.42578125" style="1" customWidth="1"/>
    <col min="10539" max="10541" width="18.28515625" style="1" customWidth="1"/>
    <col min="10542" max="10542" width="11.140625" style="1" bestFit="1" customWidth="1"/>
    <col min="10543" max="10543" width="10.42578125" style="1" bestFit="1" customWidth="1"/>
    <col min="10544" max="10544" width="9.85546875" style="1" bestFit="1" customWidth="1"/>
    <col min="10545" max="10758" width="11.42578125" style="1"/>
    <col min="10759" max="10759" width="26.140625" style="1" bestFit="1" customWidth="1"/>
    <col min="10760" max="10773" width="18.28515625" style="1" customWidth="1"/>
    <col min="10774" max="10774" width="14" style="1" customWidth="1"/>
    <col min="10775" max="10775" width="13.42578125" style="1" customWidth="1"/>
    <col min="10776" max="10776" width="13.28515625" style="1" customWidth="1"/>
    <col min="10777" max="10777" width="12.42578125" style="1" customWidth="1"/>
    <col min="10778" max="10778" width="13" style="1" customWidth="1"/>
    <col min="10779" max="10779" width="12.42578125" style="1" customWidth="1"/>
    <col min="10780" max="10780" width="14.140625" style="1" customWidth="1"/>
    <col min="10781" max="10781" width="13.28515625" style="1" customWidth="1"/>
    <col min="10782" max="10791" width="18.28515625" style="1" customWidth="1"/>
    <col min="10792" max="10792" width="12.7109375" style="1" customWidth="1"/>
    <col min="10793" max="10793" width="12.28515625" style="1" customWidth="1"/>
    <col min="10794" max="10794" width="13.42578125" style="1" customWidth="1"/>
    <col min="10795" max="10797" width="18.28515625" style="1" customWidth="1"/>
    <col min="10798" max="10798" width="11.140625" style="1" bestFit="1" customWidth="1"/>
    <col min="10799" max="10799" width="10.42578125" style="1" bestFit="1" customWidth="1"/>
    <col min="10800" max="10800" width="9.85546875" style="1" bestFit="1" customWidth="1"/>
    <col min="10801" max="11014" width="11.42578125" style="1"/>
    <col min="11015" max="11015" width="26.140625" style="1" bestFit="1" customWidth="1"/>
    <col min="11016" max="11029" width="18.28515625" style="1" customWidth="1"/>
    <col min="11030" max="11030" width="14" style="1" customWidth="1"/>
    <col min="11031" max="11031" width="13.42578125" style="1" customWidth="1"/>
    <col min="11032" max="11032" width="13.28515625" style="1" customWidth="1"/>
    <col min="11033" max="11033" width="12.42578125" style="1" customWidth="1"/>
    <col min="11034" max="11034" width="13" style="1" customWidth="1"/>
    <col min="11035" max="11035" width="12.42578125" style="1" customWidth="1"/>
    <col min="11036" max="11036" width="14.140625" style="1" customWidth="1"/>
    <col min="11037" max="11037" width="13.28515625" style="1" customWidth="1"/>
    <col min="11038" max="11047" width="18.28515625" style="1" customWidth="1"/>
    <col min="11048" max="11048" width="12.7109375" style="1" customWidth="1"/>
    <col min="11049" max="11049" width="12.28515625" style="1" customWidth="1"/>
    <col min="11050" max="11050" width="13.42578125" style="1" customWidth="1"/>
    <col min="11051" max="11053" width="18.28515625" style="1" customWidth="1"/>
    <col min="11054" max="11054" width="11.140625" style="1" bestFit="1" customWidth="1"/>
    <col min="11055" max="11055" width="10.42578125" style="1" bestFit="1" customWidth="1"/>
    <col min="11056" max="11056" width="9.85546875" style="1" bestFit="1" customWidth="1"/>
    <col min="11057" max="11270" width="11.42578125" style="1"/>
    <col min="11271" max="11271" width="26.140625" style="1" bestFit="1" customWidth="1"/>
    <col min="11272" max="11285" width="18.28515625" style="1" customWidth="1"/>
    <col min="11286" max="11286" width="14" style="1" customWidth="1"/>
    <col min="11287" max="11287" width="13.42578125" style="1" customWidth="1"/>
    <col min="11288" max="11288" width="13.28515625" style="1" customWidth="1"/>
    <col min="11289" max="11289" width="12.42578125" style="1" customWidth="1"/>
    <col min="11290" max="11290" width="13" style="1" customWidth="1"/>
    <col min="11291" max="11291" width="12.42578125" style="1" customWidth="1"/>
    <col min="11292" max="11292" width="14.140625" style="1" customWidth="1"/>
    <col min="11293" max="11293" width="13.28515625" style="1" customWidth="1"/>
    <col min="11294" max="11303" width="18.28515625" style="1" customWidth="1"/>
    <col min="11304" max="11304" width="12.7109375" style="1" customWidth="1"/>
    <col min="11305" max="11305" width="12.28515625" style="1" customWidth="1"/>
    <col min="11306" max="11306" width="13.42578125" style="1" customWidth="1"/>
    <col min="11307" max="11309" width="18.28515625" style="1" customWidth="1"/>
    <col min="11310" max="11310" width="11.140625" style="1" bestFit="1" customWidth="1"/>
    <col min="11311" max="11311" width="10.42578125" style="1" bestFit="1" customWidth="1"/>
    <col min="11312" max="11312" width="9.85546875" style="1" bestFit="1" customWidth="1"/>
    <col min="11313" max="11526" width="11.42578125" style="1"/>
    <col min="11527" max="11527" width="26.140625" style="1" bestFit="1" customWidth="1"/>
    <col min="11528" max="11541" width="18.28515625" style="1" customWidth="1"/>
    <col min="11542" max="11542" width="14" style="1" customWidth="1"/>
    <col min="11543" max="11543" width="13.42578125" style="1" customWidth="1"/>
    <col min="11544" max="11544" width="13.28515625" style="1" customWidth="1"/>
    <col min="11545" max="11545" width="12.42578125" style="1" customWidth="1"/>
    <col min="11546" max="11546" width="13" style="1" customWidth="1"/>
    <col min="11547" max="11547" width="12.42578125" style="1" customWidth="1"/>
    <col min="11548" max="11548" width="14.140625" style="1" customWidth="1"/>
    <col min="11549" max="11549" width="13.28515625" style="1" customWidth="1"/>
    <col min="11550" max="11559" width="18.28515625" style="1" customWidth="1"/>
    <col min="11560" max="11560" width="12.7109375" style="1" customWidth="1"/>
    <col min="11561" max="11561" width="12.28515625" style="1" customWidth="1"/>
    <col min="11562" max="11562" width="13.42578125" style="1" customWidth="1"/>
    <col min="11563" max="11565" width="18.28515625" style="1" customWidth="1"/>
    <col min="11566" max="11566" width="11.140625" style="1" bestFit="1" customWidth="1"/>
    <col min="11567" max="11567" width="10.42578125" style="1" bestFit="1" customWidth="1"/>
    <col min="11568" max="11568" width="9.85546875" style="1" bestFit="1" customWidth="1"/>
    <col min="11569" max="11782" width="11.42578125" style="1"/>
    <col min="11783" max="11783" width="26.140625" style="1" bestFit="1" customWidth="1"/>
    <col min="11784" max="11797" width="18.28515625" style="1" customWidth="1"/>
    <col min="11798" max="11798" width="14" style="1" customWidth="1"/>
    <col min="11799" max="11799" width="13.42578125" style="1" customWidth="1"/>
    <col min="11800" max="11800" width="13.28515625" style="1" customWidth="1"/>
    <col min="11801" max="11801" width="12.42578125" style="1" customWidth="1"/>
    <col min="11802" max="11802" width="13" style="1" customWidth="1"/>
    <col min="11803" max="11803" width="12.42578125" style="1" customWidth="1"/>
    <col min="11804" max="11804" width="14.140625" style="1" customWidth="1"/>
    <col min="11805" max="11805" width="13.28515625" style="1" customWidth="1"/>
    <col min="11806" max="11815" width="18.28515625" style="1" customWidth="1"/>
    <col min="11816" max="11816" width="12.7109375" style="1" customWidth="1"/>
    <col min="11817" max="11817" width="12.28515625" style="1" customWidth="1"/>
    <col min="11818" max="11818" width="13.42578125" style="1" customWidth="1"/>
    <col min="11819" max="11821" width="18.28515625" style="1" customWidth="1"/>
    <col min="11822" max="11822" width="11.140625" style="1" bestFit="1" customWidth="1"/>
    <col min="11823" max="11823" width="10.42578125" style="1" bestFit="1" customWidth="1"/>
    <col min="11824" max="11824" width="9.85546875" style="1" bestFit="1" customWidth="1"/>
    <col min="11825" max="12038" width="11.42578125" style="1"/>
    <col min="12039" max="12039" width="26.140625" style="1" bestFit="1" customWidth="1"/>
    <col min="12040" max="12053" width="18.28515625" style="1" customWidth="1"/>
    <col min="12054" max="12054" width="14" style="1" customWidth="1"/>
    <col min="12055" max="12055" width="13.42578125" style="1" customWidth="1"/>
    <col min="12056" max="12056" width="13.28515625" style="1" customWidth="1"/>
    <col min="12057" max="12057" width="12.42578125" style="1" customWidth="1"/>
    <col min="12058" max="12058" width="13" style="1" customWidth="1"/>
    <col min="12059" max="12059" width="12.42578125" style="1" customWidth="1"/>
    <col min="12060" max="12060" width="14.140625" style="1" customWidth="1"/>
    <col min="12061" max="12061" width="13.28515625" style="1" customWidth="1"/>
    <col min="12062" max="12071" width="18.28515625" style="1" customWidth="1"/>
    <col min="12072" max="12072" width="12.7109375" style="1" customWidth="1"/>
    <col min="12073" max="12073" width="12.28515625" style="1" customWidth="1"/>
    <col min="12074" max="12074" width="13.42578125" style="1" customWidth="1"/>
    <col min="12075" max="12077" width="18.28515625" style="1" customWidth="1"/>
    <col min="12078" max="12078" width="11.140625" style="1" bestFit="1" customWidth="1"/>
    <col min="12079" max="12079" width="10.42578125" style="1" bestFit="1" customWidth="1"/>
    <col min="12080" max="12080" width="9.85546875" style="1" bestFit="1" customWidth="1"/>
    <col min="12081" max="12294" width="11.42578125" style="1"/>
    <col min="12295" max="12295" width="26.140625" style="1" bestFit="1" customWidth="1"/>
    <col min="12296" max="12309" width="18.28515625" style="1" customWidth="1"/>
    <col min="12310" max="12310" width="14" style="1" customWidth="1"/>
    <col min="12311" max="12311" width="13.42578125" style="1" customWidth="1"/>
    <col min="12312" max="12312" width="13.28515625" style="1" customWidth="1"/>
    <col min="12313" max="12313" width="12.42578125" style="1" customWidth="1"/>
    <col min="12314" max="12314" width="13" style="1" customWidth="1"/>
    <col min="12315" max="12315" width="12.42578125" style="1" customWidth="1"/>
    <col min="12316" max="12316" width="14.140625" style="1" customWidth="1"/>
    <col min="12317" max="12317" width="13.28515625" style="1" customWidth="1"/>
    <col min="12318" max="12327" width="18.28515625" style="1" customWidth="1"/>
    <col min="12328" max="12328" width="12.7109375" style="1" customWidth="1"/>
    <col min="12329" max="12329" width="12.28515625" style="1" customWidth="1"/>
    <col min="12330" max="12330" width="13.42578125" style="1" customWidth="1"/>
    <col min="12331" max="12333" width="18.28515625" style="1" customWidth="1"/>
    <col min="12334" max="12334" width="11.140625" style="1" bestFit="1" customWidth="1"/>
    <col min="12335" max="12335" width="10.42578125" style="1" bestFit="1" customWidth="1"/>
    <col min="12336" max="12336" width="9.85546875" style="1" bestFit="1" customWidth="1"/>
    <col min="12337" max="12550" width="11.42578125" style="1"/>
    <col min="12551" max="12551" width="26.140625" style="1" bestFit="1" customWidth="1"/>
    <col min="12552" max="12565" width="18.28515625" style="1" customWidth="1"/>
    <col min="12566" max="12566" width="14" style="1" customWidth="1"/>
    <col min="12567" max="12567" width="13.42578125" style="1" customWidth="1"/>
    <col min="12568" max="12568" width="13.28515625" style="1" customWidth="1"/>
    <col min="12569" max="12569" width="12.42578125" style="1" customWidth="1"/>
    <col min="12570" max="12570" width="13" style="1" customWidth="1"/>
    <col min="12571" max="12571" width="12.42578125" style="1" customWidth="1"/>
    <col min="12572" max="12572" width="14.140625" style="1" customWidth="1"/>
    <col min="12573" max="12573" width="13.28515625" style="1" customWidth="1"/>
    <col min="12574" max="12583" width="18.28515625" style="1" customWidth="1"/>
    <col min="12584" max="12584" width="12.7109375" style="1" customWidth="1"/>
    <col min="12585" max="12585" width="12.28515625" style="1" customWidth="1"/>
    <col min="12586" max="12586" width="13.42578125" style="1" customWidth="1"/>
    <col min="12587" max="12589" width="18.28515625" style="1" customWidth="1"/>
    <col min="12590" max="12590" width="11.140625" style="1" bestFit="1" customWidth="1"/>
    <col min="12591" max="12591" width="10.42578125" style="1" bestFit="1" customWidth="1"/>
    <col min="12592" max="12592" width="9.85546875" style="1" bestFit="1" customWidth="1"/>
    <col min="12593" max="12806" width="11.42578125" style="1"/>
    <col min="12807" max="12807" width="26.140625" style="1" bestFit="1" customWidth="1"/>
    <col min="12808" max="12821" width="18.28515625" style="1" customWidth="1"/>
    <col min="12822" max="12822" width="14" style="1" customWidth="1"/>
    <col min="12823" max="12823" width="13.42578125" style="1" customWidth="1"/>
    <col min="12824" max="12824" width="13.28515625" style="1" customWidth="1"/>
    <col min="12825" max="12825" width="12.42578125" style="1" customWidth="1"/>
    <col min="12826" max="12826" width="13" style="1" customWidth="1"/>
    <col min="12827" max="12827" width="12.42578125" style="1" customWidth="1"/>
    <col min="12828" max="12828" width="14.140625" style="1" customWidth="1"/>
    <col min="12829" max="12829" width="13.28515625" style="1" customWidth="1"/>
    <col min="12830" max="12839" width="18.28515625" style="1" customWidth="1"/>
    <col min="12840" max="12840" width="12.7109375" style="1" customWidth="1"/>
    <col min="12841" max="12841" width="12.28515625" style="1" customWidth="1"/>
    <col min="12842" max="12842" width="13.42578125" style="1" customWidth="1"/>
    <col min="12843" max="12845" width="18.28515625" style="1" customWidth="1"/>
    <col min="12846" max="12846" width="11.140625" style="1" bestFit="1" customWidth="1"/>
    <col min="12847" max="12847" width="10.42578125" style="1" bestFit="1" customWidth="1"/>
    <col min="12848" max="12848" width="9.85546875" style="1" bestFit="1" customWidth="1"/>
    <col min="12849" max="13062" width="11.42578125" style="1"/>
    <col min="13063" max="13063" width="26.140625" style="1" bestFit="1" customWidth="1"/>
    <col min="13064" max="13077" width="18.28515625" style="1" customWidth="1"/>
    <col min="13078" max="13078" width="14" style="1" customWidth="1"/>
    <col min="13079" max="13079" width="13.42578125" style="1" customWidth="1"/>
    <col min="13080" max="13080" width="13.28515625" style="1" customWidth="1"/>
    <col min="13081" max="13081" width="12.42578125" style="1" customWidth="1"/>
    <col min="13082" max="13082" width="13" style="1" customWidth="1"/>
    <col min="13083" max="13083" width="12.42578125" style="1" customWidth="1"/>
    <col min="13084" max="13084" width="14.140625" style="1" customWidth="1"/>
    <col min="13085" max="13085" width="13.28515625" style="1" customWidth="1"/>
    <col min="13086" max="13095" width="18.28515625" style="1" customWidth="1"/>
    <col min="13096" max="13096" width="12.7109375" style="1" customWidth="1"/>
    <col min="13097" max="13097" width="12.28515625" style="1" customWidth="1"/>
    <col min="13098" max="13098" width="13.42578125" style="1" customWidth="1"/>
    <col min="13099" max="13101" width="18.28515625" style="1" customWidth="1"/>
    <col min="13102" max="13102" width="11.140625" style="1" bestFit="1" customWidth="1"/>
    <col min="13103" max="13103" width="10.42578125" style="1" bestFit="1" customWidth="1"/>
    <col min="13104" max="13104" width="9.85546875" style="1" bestFit="1" customWidth="1"/>
    <col min="13105" max="13318" width="11.42578125" style="1"/>
    <col min="13319" max="13319" width="26.140625" style="1" bestFit="1" customWidth="1"/>
    <col min="13320" max="13333" width="18.28515625" style="1" customWidth="1"/>
    <col min="13334" max="13334" width="14" style="1" customWidth="1"/>
    <col min="13335" max="13335" width="13.42578125" style="1" customWidth="1"/>
    <col min="13336" max="13336" width="13.28515625" style="1" customWidth="1"/>
    <col min="13337" max="13337" width="12.42578125" style="1" customWidth="1"/>
    <col min="13338" max="13338" width="13" style="1" customWidth="1"/>
    <col min="13339" max="13339" width="12.42578125" style="1" customWidth="1"/>
    <col min="13340" max="13340" width="14.140625" style="1" customWidth="1"/>
    <col min="13341" max="13341" width="13.28515625" style="1" customWidth="1"/>
    <col min="13342" max="13351" width="18.28515625" style="1" customWidth="1"/>
    <col min="13352" max="13352" width="12.7109375" style="1" customWidth="1"/>
    <col min="13353" max="13353" width="12.28515625" style="1" customWidth="1"/>
    <col min="13354" max="13354" width="13.42578125" style="1" customWidth="1"/>
    <col min="13355" max="13357" width="18.28515625" style="1" customWidth="1"/>
    <col min="13358" max="13358" width="11.140625" style="1" bestFit="1" customWidth="1"/>
    <col min="13359" max="13359" width="10.42578125" style="1" bestFit="1" customWidth="1"/>
    <col min="13360" max="13360" width="9.85546875" style="1" bestFit="1" customWidth="1"/>
    <col min="13361" max="13574" width="11.42578125" style="1"/>
    <col min="13575" max="13575" width="26.140625" style="1" bestFit="1" customWidth="1"/>
    <col min="13576" max="13589" width="18.28515625" style="1" customWidth="1"/>
    <col min="13590" max="13590" width="14" style="1" customWidth="1"/>
    <col min="13591" max="13591" width="13.42578125" style="1" customWidth="1"/>
    <col min="13592" max="13592" width="13.28515625" style="1" customWidth="1"/>
    <col min="13593" max="13593" width="12.42578125" style="1" customWidth="1"/>
    <col min="13594" max="13594" width="13" style="1" customWidth="1"/>
    <col min="13595" max="13595" width="12.42578125" style="1" customWidth="1"/>
    <col min="13596" max="13596" width="14.140625" style="1" customWidth="1"/>
    <col min="13597" max="13597" width="13.28515625" style="1" customWidth="1"/>
    <col min="13598" max="13607" width="18.28515625" style="1" customWidth="1"/>
    <col min="13608" max="13608" width="12.7109375" style="1" customWidth="1"/>
    <col min="13609" max="13609" width="12.28515625" style="1" customWidth="1"/>
    <col min="13610" max="13610" width="13.42578125" style="1" customWidth="1"/>
    <col min="13611" max="13613" width="18.28515625" style="1" customWidth="1"/>
    <col min="13614" max="13614" width="11.140625" style="1" bestFit="1" customWidth="1"/>
    <col min="13615" max="13615" width="10.42578125" style="1" bestFit="1" customWidth="1"/>
    <col min="13616" max="13616" width="9.85546875" style="1" bestFit="1" customWidth="1"/>
    <col min="13617" max="13830" width="11.42578125" style="1"/>
    <col min="13831" max="13831" width="26.140625" style="1" bestFit="1" customWidth="1"/>
    <col min="13832" max="13845" width="18.28515625" style="1" customWidth="1"/>
    <col min="13846" max="13846" width="14" style="1" customWidth="1"/>
    <col min="13847" max="13847" width="13.42578125" style="1" customWidth="1"/>
    <col min="13848" max="13848" width="13.28515625" style="1" customWidth="1"/>
    <col min="13849" max="13849" width="12.42578125" style="1" customWidth="1"/>
    <col min="13850" max="13850" width="13" style="1" customWidth="1"/>
    <col min="13851" max="13851" width="12.42578125" style="1" customWidth="1"/>
    <col min="13852" max="13852" width="14.140625" style="1" customWidth="1"/>
    <col min="13853" max="13853" width="13.28515625" style="1" customWidth="1"/>
    <col min="13854" max="13863" width="18.28515625" style="1" customWidth="1"/>
    <col min="13864" max="13864" width="12.7109375" style="1" customWidth="1"/>
    <col min="13865" max="13865" width="12.28515625" style="1" customWidth="1"/>
    <col min="13866" max="13866" width="13.42578125" style="1" customWidth="1"/>
    <col min="13867" max="13869" width="18.28515625" style="1" customWidth="1"/>
    <col min="13870" max="13870" width="11.140625" style="1" bestFit="1" customWidth="1"/>
    <col min="13871" max="13871" width="10.42578125" style="1" bestFit="1" customWidth="1"/>
    <col min="13872" max="13872" width="9.85546875" style="1" bestFit="1" customWidth="1"/>
    <col min="13873" max="14086" width="11.42578125" style="1"/>
    <col min="14087" max="14087" width="26.140625" style="1" bestFit="1" customWidth="1"/>
    <col min="14088" max="14101" width="18.28515625" style="1" customWidth="1"/>
    <col min="14102" max="14102" width="14" style="1" customWidth="1"/>
    <col min="14103" max="14103" width="13.42578125" style="1" customWidth="1"/>
    <col min="14104" max="14104" width="13.28515625" style="1" customWidth="1"/>
    <col min="14105" max="14105" width="12.42578125" style="1" customWidth="1"/>
    <col min="14106" max="14106" width="13" style="1" customWidth="1"/>
    <col min="14107" max="14107" width="12.42578125" style="1" customWidth="1"/>
    <col min="14108" max="14108" width="14.140625" style="1" customWidth="1"/>
    <col min="14109" max="14109" width="13.28515625" style="1" customWidth="1"/>
    <col min="14110" max="14119" width="18.28515625" style="1" customWidth="1"/>
    <col min="14120" max="14120" width="12.7109375" style="1" customWidth="1"/>
    <col min="14121" max="14121" width="12.28515625" style="1" customWidth="1"/>
    <col min="14122" max="14122" width="13.42578125" style="1" customWidth="1"/>
    <col min="14123" max="14125" width="18.28515625" style="1" customWidth="1"/>
    <col min="14126" max="14126" width="11.140625" style="1" bestFit="1" customWidth="1"/>
    <col min="14127" max="14127" width="10.42578125" style="1" bestFit="1" customWidth="1"/>
    <col min="14128" max="14128" width="9.85546875" style="1" bestFit="1" customWidth="1"/>
    <col min="14129" max="14342" width="11.42578125" style="1"/>
    <col min="14343" max="14343" width="26.140625" style="1" bestFit="1" customWidth="1"/>
    <col min="14344" max="14357" width="18.28515625" style="1" customWidth="1"/>
    <col min="14358" max="14358" width="14" style="1" customWidth="1"/>
    <col min="14359" max="14359" width="13.42578125" style="1" customWidth="1"/>
    <col min="14360" max="14360" width="13.28515625" style="1" customWidth="1"/>
    <col min="14361" max="14361" width="12.42578125" style="1" customWidth="1"/>
    <col min="14362" max="14362" width="13" style="1" customWidth="1"/>
    <col min="14363" max="14363" width="12.42578125" style="1" customWidth="1"/>
    <col min="14364" max="14364" width="14.140625" style="1" customWidth="1"/>
    <col min="14365" max="14365" width="13.28515625" style="1" customWidth="1"/>
    <col min="14366" max="14375" width="18.28515625" style="1" customWidth="1"/>
    <col min="14376" max="14376" width="12.7109375" style="1" customWidth="1"/>
    <col min="14377" max="14377" width="12.28515625" style="1" customWidth="1"/>
    <col min="14378" max="14378" width="13.42578125" style="1" customWidth="1"/>
    <col min="14379" max="14381" width="18.28515625" style="1" customWidth="1"/>
    <col min="14382" max="14382" width="11.140625" style="1" bestFit="1" customWidth="1"/>
    <col min="14383" max="14383" width="10.42578125" style="1" bestFit="1" customWidth="1"/>
    <col min="14384" max="14384" width="9.85546875" style="1" bestFit="1" customWidth="1"/>
    <col min="14385" max="14598" width="11.42578125" style="1"/>
    <col min="14599" max="14599" width="26.140625" style="1" bestFit="1" customWidth="1"/>
    <col min="14600" max="14613" width="18.28515625" style="1" customWidth="1"/>
    <col min="14614" max="14614" width="14" style="1" customWidth="1"/>
    <col min="14615" max="14615" width="13.42578125" style="1" customWidth="1"/>
    <col min="14616" max="14616" width="13.28515625" style="1" customWidth="1"/>
    <col min="14617" max="14617" width="12.42578125" style="1" customWidth="1"/>
    <col min="14618" max="14618" width="13" style="1" customWidth="1"/>
    <col min="14619" max="14619" width="12.42578125" style="1" customWidth="1"/>
    <col min="14620" max="14620" width="14.140625" style="1" customWidth="1"/>
    <col min="14621" max="14621" width="13.28515625" style="1" customWidth="1"/>
    <col min="14622" max="14631" width="18.28515625" style="1" customWidth="1"/>
    <col min="14632" max="14632" width="12.7109375" style="1" customWidth="1"/>
    <col min="14633" max="14633" width="12.28515625" style="1" customWidth="1"/>
    <col min="14634" max="14634" width="13.42578125" style="1" customWidth="1"/>
    <col min="14635" max="14637" width="18.28515625" style="1" customWidth="1"/>
    <col min="14638" max="14638" width="11.140625" style="1" bestFit="1" customWidth="1"/>
    <col min="14639" max="14639" width="10.42578125" style="1" bestFit="1" customWidth="1"/>
    <col min="14640" max="14640" width="9.85546875" style="1" bestFit="1" customWidth="1"/>
    <col min="14641" max="14854" width="11.42578125" style="1"/>
    <col min="14855" max="14855" width="26.140625" style="1" bestFit="1" customWidth="1"/>
    <col min="14856" max="14869" width="18.28515625" style="1" customWidth="1"/>
    <col min="14870" max="14870" width="14" style="1" customWidth="1"/>
    <col min="14871" max="14871" width="13.42578125" style="1" customWidth="1"/>
    <col min="14872" max="14872" width="13.28515625" style="1" customWidth="1"/>
    <col min="14873" max="14873" width="12.42578125" style="1" customWidth="1"/>
    <col min="14874" max="14874" width="13" style="1" customWidth="1"/>
    <col min="14875" max="14875" width="12.42578125" style="1" customWidth="1"/>
    <col min="14876" max="14876" width="14.140625" style="1" customWidth="1"/>
    <col min="14877" max="14877" width="13.28515625" style="1" customWidth="1"/>
    <col min="14878" max="14887" width="18.28515625" style="1" customWidth="1"/>
    <col min="14888" max="14888" width="12.7109375" style="1" customWidth="1"/>
    <col min="14889" max="14889" width="12.28515625" style="1" customWidth="1"/>
    <col min="14890" max="14890" width="13.42578125" style="1" customWidth="1"/>
    <col min="14891" max="14893" width="18.28515625" style="1" customWidth="1"/>
    <col min="14894" max="14894" width="11.140625" style="1" bestFit="1" customWidth="1"/>
    <col min="14895" max="14895" width="10.42578125" style="1" bestFit="1" customWidth="1"/>
    <col min="14896" max="14896" width="9.85546875" style="1" bestFit="1" customWidth="1"/>
    <col min="14897" max="15110" width="11.42578125" style="1"/>
    <col min="15111" max="15111" width="26.140625" style="1" bestFit="1" customWidth="1"/>
    <col min="15112" max="15125" width="18.28515625" style="1" customWidth="1"/>
    <col min="15126" max="15126" width="14" style="1" customWidth="1"/>
    <col min="15127" max="15127" width="13.42578125" style="1" customWidth="1"/>
    <col min="15128" max="15128" width="13.28515625" style="1" customWidth="1"/>
    <col min="15129" max="15129" width="12.42578125" style="1" customWidth="1"/>
    <col min="15130" max="15130" width="13" style="1" customWidth="1"/>
    <col min="15131" max="15131" width="12.42578125" style="1" customWidth="1"/>
    <col min="15132" max="15132" width="14.140625" style="1" customWidth="1"/>
    <col min="15133" max="15133" width="13.28515625" style="1" customWidth="1"/>
    <col min="15134" max="15143" width="18.28515625" style="1" customWidth="1"/>
    <col min="15144" max="15144" width="12.7109375" style="1" customWidth="1"/>
    <col min="15145" max="15145" width="12.28515625" style="1" customWidth="1"/>
    <col min="15146" max="15146" width="13.42578125" style="1" customWidth="1"/>
    <col min="15147" max="15149" width="18.28515625" style="1" customWidth="1"/>
    <col min="15150" max="15150" width="11.140625" style="1" bestFit="1" customWidth="1"/>
    <col min="15151" max="15151" width="10.42578125" style="1" bestFit="1" customWidth="1"/>
    <col min="15152" max="15152" width="9.85546875" style="1" bestFit="1" customWidth="1"/>
    <col min="15153" max="15366" width="11.42578125" style="1"/>
    <col min="15367" max="15367" width="26.140625" style="1" bestFit="1" customWidth="1"/>
    <col min="15368" max="15381" width="18.28515625" style="1" customWidth="1"/>
    <col min="15382" max="15382" width="14" style="1" customWidth="1"/>
    <col min="15383" max="15383" width="13.42578125" style="1" customWidth="1"/>
    <col min="15384" max="15384" width="13.28515625" style="1" customWidth="1"/>
    <col min="15385" max="15385" width="12.42578125" style="1" customWidth="1"/>
    <col min="15386" max="15386" width="13" style="1" customWidth="1"/>
    <col min="15387" max="15387" width="12.42578125" style="1" customWidth="1"/>
    <col min="15388" max="15388" width="14.140625" style="1" customWidth="1"/>
    <col min="15389" max="15389" width="13.28515625" style="1" customWidth="1"/>
    <col min="15390" max="15399" width="18.28515625" style="1" customWidth="1"/>
    <col min="15400" max="15400" width="12.7109375" style="1" customWidth="1"/>
    <col min="15401" max="15401" width="12.28515625" style="1" customWidth="1"/>
    <col min="15402" max="15402" width="13.42578125" style="1" customWidth="1"/>
    <col min="15403" max="15405" width="18.28515625" style="1" customWidth="1"/>
    <col min="15406" max="15406" width="11.140625" style="1" bestFit="1" customWidth="1"/>
    <col min="15407" max="15407" width="10.42578125" style="1" bestFit="1" customWidth="1"/>
    <col min="15408" max="15408" width="9.85546875" style="1" bestFit="1" customWidth="1"/>
    <col min="15409" max="15622" width="11.42578125" style="1"/>
    <col min="15623" max="15623" width="26.140625" style="1" bestFit="1" customWidth="1"/>
    <col min="15624" max="15637" width="18.28515625" style="1" customWidth="1"/>
    <col min="15638" max="15638" width="14" style="1" customWidth="1"/>
    <col min="15639" max="15639" width="13.42578125" style="1" customWidth="1"/>
    <col min="15640" max="15640" width="13.28515625" style="1" customWidth="1"/>
    <col min="15641" max="15641" width="12.42578125" style="1" customWidth="1"/>
    <col min="15642" max="15642" width="13" style="1" customWidth="1"/>
    <col min="15643" max="15643" width="12.42578125" style="1" customWidth="1"/>
    <col min="15644" max="15644" width="14.140625" style="1" customWidth="1"/>
    <col min="15645" max="15645" width="13.28515625" style="1" customWidth="1"/>
    <col min="15646" max="15655" width="18.28515625" style="1" customWidth="1"/>
    <col min="15656" max="15656" width="12.7109375" style="1" customWidth="1"/>
    <col min="15657" max="15657" width="12.28515625" style="1" customWidth="1"/>
    <col min="15658" max="15658" width="13.42578125" style="1" customWidth="1"/>
    <col min="15659" max="15661" width="18.28515625" style="1" customWidth="1"/>
    <col min="15662" max="15662" width="11.140625" style="1" bestFit="1" customWidth="1"/>
    <col min="15663" max="15663" width="10.42578125" style="1" bestFit="1" customWidth="1"/>
    <col min="15664" max="15664" width="9.85546875" style="1" bestFit="1" customWidth="1"/>
    <col min="15665" max="15878" width="11.42578125" style="1"/>
    <col min="15879" max="15879" width="26.140625" style="1" bestFit="1" customWidth="1"/>
    <col min="15880" max="15893" width="18.28515625" style="1" customWidth="1"/>
    <col min="15894" max="15894" width="14" style="1" customWidth="1"/>
    <col min="15895" max="15895" width="13.42578125" style="1" customWidth="1"/>
    <col min="15896" max="15896" width="13.28515625" style="1" customWidth="1"/>
    <col min="15897" max="15897" width="12.42578125" style="1" customWidth="1"/>
    <col min="15898" max="15898" width="13" style="1" customWidth="1"/>
    <col min="15899" max="15899" width="12.42578125" style="1" customWidth="1"/>
    <col min="15900" max="15900" width="14.140625" style="1" customWidth="1"/>
    <col min="15901" max="15901" width="13.28515625" style="1" customWidth="1"/>
    <col min="15902" max="15911" width="18.28515625" style="1" customWidth="1"/>
    <col min="15912" max="15912" width="12.7109375" style="1" customWidth="1"/>
    <col min="15913" max="15913" width="12.28515625" style="1" customWidth="1"/>
    <col min="15914" max="15914" width="13.42578125" style="1" customWidth="1"/>
    <col min="15915" max="15917" width="18.28515625" style="1" customWidth="1"/>
    <col min="15918" max="15918" width="11.140625" style="1" bestFit="1" customWidth="1"/>
    <col min="15919" max="15919" width="10.42578125" style="1" bestFit="1" customWidth="1"/>
    <col min="15920" max="15920" width="9.85546875" style="1" bestFit="1" customWidth="1"/>
    <col min="15921" max="16134" width="11.42578125" style="1"/>
    <col min="16135" max="16135" width="26.140625" style="1" bestFit="1" customWidth="1"/>
    <col min="16136" max="16149" width="18.28515625" style="1" customWidth="1"/>
    <col min="16150" max="16150" width="14" style="1" customWidth="1"/>
    <col min="16151" max="16151" width="13.42578125" style="1" customWidth="1"/>
    <col min="16152" max="16152" width="13.28515625" style="1" customWidth="1"/>
    <col min="16153" max="16153" width="12.42578125" style="1" customWidth="1"/>
    <col min="16154" max="16154" width="13" style="1" customWidth="1"/>
    <col min="16155" max="16155" width="12.42578125" style="1" customWidth="1"/>
    <col min="16156" max="16156" width="14.140625" style="1" customWidth="1"/>
    <col min="16157" max="16157" width="13.28515625" style="1" customWidth="1"/>
    <col min="16158" max="16167" width="18.28515625" style="1" customWidth="1"/>
    <col min="16168" max="16168" width="12.7109375" style="1" customWidth="1"/>
    <col min="16169" max="16169" width="12.28515625" style="1" customWidth="1"/>
    <col min="16170" max="16170" width="13.42578125" style="1" customWidth="1"/>
    <col min="16171" max="16173" width="18.28515625" style="1" customWidth="1"/>
    <col min="16174" max="16174" width="11.140625" style="1" bestFit="1" customWidth="1"/>
    <col min="16175" max="16175" width="10.42578125" style="1" bestFit="1" customWidth="1"/>
    <col min="16176" max="16176" width="9.85546875" style="1" bestFit="1" customWidth="1"/>
    <col min="16177" max="16384" width="11.42578125" style="1"/>
  </cols>
  <sheetData>
    <row r="1" spans="1:49" x14ac:dyDescent="0.2">
      <c r="B1" s="2"/>
      <c r="C1" s="2"/>
    </row>
    <row r="2" spans="1:49" x14ac:dyDescent="0.2">
      <c r="A2" s="111" t="str">
        <f>+'[2]Ut.  unidad de negocio mensual'!A2:K2</f>
        <v>Sigmaseg S.A. de C.V.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</row>
    <row r="3" spans="1:49" x14ac:dyDescent="0.2">
      <c r="A3" s="111" t="s">
        <v>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</row>
    <row r="4" spans="1:49" x14ac:dyDescent="0.2">
      <c r="A4" s="112">
        <f>+'[2]Ut.  unidad de negocio mensual'!A4:M4</f>
        <v>45323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</row>
    <row r="5" spans="1:4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49" ht="24" x14ac:dyDescent="0.2">
      <c r="A6" s="4" t="s">
        <v>1</v>
      </c>
      <c r="B6" s="19" t="s">
        <v>2</v>
      </c>
      <c r="C6" s="19" t="s">
        <v>3</v>
      </c>
      <c r="D6" s="63" t="s">
        <v>97</v>
      </c>
      <c r="E6" s="19" t="s">
        <v>4</v>
      </c>
      <c r="F6" s="19" t="s">
        <v>5</v>
      </c>
      <c r="G6" s="19" t="s">
        <v>6</v>
      </c>
      <c r="H6" s="35" t="s">
        <v>104</v>
      </c>
      <c r="I6" s="19" t="s">
        <v>74</v>
      </c>
      <c r="J6" s="19" t="s">
        <v>7</v>
      </c>
      <c r="K6" s="19" t="s">
        <v>8</v>
      </c>
      <c r="L6" s="19" t="s">
        <v>9</v>
      </c>
      <c r="M6" s="19" t="s">
        <v>10</v>
      </c>
      <c r="N6" s="19" t="s">
        <v>11</v>
      </c>
      <c r="O6" s="19"/>
      <c r="P6" s="19" t="s">
        <v>13</v>
      </c>
      <c r="Q6" s="19" t="s">
        <v>14</v>
      </c>
      <c r="R6" s="19" t="s">
        <v>15</v>
      </c>
      <c r="S6" s="19" t="s">
        <v>16</v>
      </c>
      <c r="T6" s="19" t="s">
        <v>17</v>
      </c>
      <c r="U6" s="19" t="s">
        <v>18</v>
      </c>
      <c r="V6" s="19" t="s">
        <v>19</v>
      </c>
      <c r="W6" s="19"/>
      <c r="X6" s="19"/>
      <c r="Y6" s="19"/>
      <c r="Z6" s="19" t="s">
        <v>23</v>
      </c>
      <c r="AA6" s="19" t="s">
        <v>24</v>
      </c>
      <c r="AB6" s="19" t="s">
        <v>25</v>
      </c>
      <c r="AC6" s="19" t="s">
        <v>26</v>
      </c>
      <c r="AD6" s="19" t="s">
        <v>27</v>
      </c>
      <c r="AE6" s="19" t="s">
        <v>28</v>
      </c>
      <c r="AF6" s="19" t="s">
        <v>29</v>
      </c>
      <c r="AG6" s="62"/>
      <c r="AH6" s="62" t="s">
        <v>30</v>
      </c>
      <c r="AI6" s="62" t="s">
        <v>31</v>
      </c>
      <c r="AJ6" s="62" t="s">
        <v>32</v>
      </c>
      <c r="AK6" s="62" t="s">
        <v>98</v>
      </c>
      <c r="AL6" s="62"/>
      <c r="AM6" s="36" t="s">
        <v>83</v>
      </c>
      <c r="AN6" s="73" t="s">
        <v>107</v>
      </c>
      <c r="AO6" s="36" t="s">
        <v>99</v>
      </c>
      <c r="AP6" s="36" t="s">
        <v>100</v>
      </c>
      <c r="AQ6" s="36" t="s">
        <v>101</v>
      </c>
      <c r="AR6" s="19" t="s">
        <v>77</v>
      </c>
      <c r="AS6" s="19" t="s">
        <v>88</v>
      </c>
      <c r="AT6" s="4" t="s">
        <v>33</v>
      </c>
      <c r="AU6" s="4" t="s">
        <v>34</v>
      </c>
    </row>
    <row r="7" spans="1:49" x14ac:dyDescent="0.2">
      <c r="A7" s="5"/>
      <c r="B7" s="113" t="s">
        <v>35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</row>
    <row r="8" spans="1:49" x14ac:dyDescent="0.2">
      <c r="A8" s="5" t="s">
        <v>36</v>
      </c>
      <c r="B8" s="6">
        <v>313000</v>
      </c>
      <c r="C8" s="6">
        <v>105500</v>
      </c>
      <c r="D8" s="6"/>
      <c r="E8" s="6">
        <v>88650</v>
      </c>
      <c r="F8" s="6">
        <v>272900</v>
      </c>
      <c r="G8" s="6">
        <v>50943.6</v>
      </c>
      <c r="H8" s="6"/>
      <c r="I8" s="6">
        <v>464900</v>
      </c>
      <c r="J8" s="6">
        <v>189841</v>
      </c>
      <c r="K8" s="6">
        <v>19000</v>
      </c>
      <c r="L8" s="6">
        <v>88299.99</v>
      </c>
      <c r="M8" s="6">
        <f>77600-M9</f>
        <v>56000</v>
      </c>
      <c r="N8" s="6">
        <v>16000</v>
      </c>
      <c r="O8" s="6"/>
      <c r="P8" s="6">
        <v>78250</v>
      </c>
      <c r="Q8" s="6">
        <v>24000</v>
      </c>
      <c r="R8" s="6">
        <v>97750</v>
      </c>
      <c r="S8" s="6">
        <v>78500</v>
      </c>
      <c r="T8" s="6">
        <v>55750</v>
      </c>
      <c r="U8" s="6">
        <v>56250</v>
      </c>
      <c r="V8" s="6">
        <v>58350</v>
      </c>
      <c r="W8" s="6"/>
      <c r="X8" s="6"/>
      <c r="Y8" s="6"/>
      <c r="Z8" s="6">
        <v>36000</v>
      </c>
      <c r="AA8" s="6">
        <v>38000</v>
      </c>
      <c r="AB8" s="6">
        <f>74000-37000</f>
        <v>37000</v>
      </c>
      <c r="AC8" s="6">
        <v>86500</v>
      </c>
      <c r="AD8" s="6">
        <v>38000</v>
      </c>
      <c r="AE8" s="6">
        <v>19500</v>
      </c>
      <c r="AF8" s="6">
        <v>84500</v>
      </c>
      <c r="AG8" s="6"/>
      <c r="AH8" s="6">
        <v>252500</v>
      </c>
      <c r="AI8" s="6">
        <v>55750</v>
      </c>
      <c r="AJ8" s="6"/>
      <c r="AK8" s="6">
        <v>58000</v>
      </c>
      <c r="AL8" s="6"/>
      <c r="AM8" s="6">
        <v>61500</v>
      </c>
      <c r="AN8" s="6"/>
      <c r="AO8" s="6">
        <v>18500</v>
      </c>
      <c r="AP8" s="6">
        <v>227161.3</v>
      </c>
      <c r="AQ8" s="6">
        <v>18700</v>
      </c>
      <c r="AR8" s="6"/>
      <c r="AS8" s="6"/>
      <c r="AT8" s="7">
        <f>SUM(B8:AS8)</f>
        <v>3145495.8899999997</v>
      </c>
      <c r="AU8" s="8">
        <f>AT8/$AT$13</f>
        <v>0.99317987179731393</v>
      </c>
    </row>
    <row r="9" spans="1:49" x14ac:dyDescent="0.2">
      <c r="A9" s="5" t="s">
        <v>79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>
        <v>21600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7">
        <f t="shared" ref="AT9:AT12" si="0">SUM(B9:AS9)</f>
        <v>21600</v>
      </c>
      <c r="AU9" s="8">
        <f>AT9/$AT$13</f>
        <v>6.8201282026860268E-3</v>
      </c>
    </row>
    <row r="10" spans="1:49" x14ac:dyDescent="0.2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7">
        <f t="shared" si="0"/>
        <v>0</v>
      </c>
      <c r="AU10" s="8">
        <f>AT10/$AT$13</f>
        <v>0</v>
      </c>
    </row>
    <row r="11" spans="1:49" x14ac:dyDescent="0.2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7">
        <f t="shared" si="0"/>
        <v>0</v>
      </c>
      <c r="AU11" s="8">
        <f>AT11/$AT$13</f>
        <v>0</v>
      </c>
    </row>
    <row r="12" spans="1:49" x14ac:dyDescent="0.2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7">
        <f t="shared" si="0"/>
        <v>0</v>
      </c>
      <c r="AU12" s="8">
        <f>AT12/$AT$13</f>
        <v>0</v>
      </c>
    </row>
    <row r="13" spans="1:49" ht="12.75" thickBot="1" x14ac:dyDescent="0.25">
      <c r="A13" s="9" t="s">
        <v>37</v>
      </c>
      <c r="B13" s="14">
        <f>SUM(B8:B12)</f>
        <v>313000</v>
      </c>
      <c r="C13" s="14">
        <f t="shared" ref="C13:AT13" si="1">SUM(C8:C12)</f>
        <v>105500</v>
      </c>
      <c r="D13" s="14">
        <f t="shared" si="1"/>
        <v>0</v>
      </c>
      <c r="E13" s="14">
        <f t="shared" si="1"/>
        <v>88650</v>
      </c>
      <c r="F13" s="14">
        <f t="shared" si="1"/>
        <v>272900</v>
      </c>
      <c r="G13" s="14">
        <f t="shared" si="1"/>
        <v>50943.6</v>
      </c>
      <c r="H13" s="14">
        <f t="shared" si="1"/>
        <v>0</v>
      </c>
      <c r="I13" s="14">
        <f t="shared" si="1"/>
        <v>464900</v>
      </c>
      <c r="J13" s="14">
        <f t="shared" si="1"/>
        <v>189841</v>
      </c>
      <c r="K13" s="14">
        <f t="shared" si="1"/>
        <v>19000</v>
      </c>
      <c r="L13" s="14">
        <f t="shared" si="1"/>
        <v>88299.99</v>
      </c>
      <c r="M13" s="14">
        <f t="shared" si="1"/>
        <v>77600</v>
      </c>
      <c r="N13" s="14">
        <f t="shared" si="1"/>
        <v>16000</v>
      </c>
      <c r="O13" s="14">
        <f t="shared" si="1"/>
        <v>0</v>
      </c>
      <c r="P13" s="14">
        <f t="shared" si="1"/>
        <v>78250</v>
      </c>
      <c r="Q13" s="14">
        <f t="shared" si="1"/>
        <v>24000</v>
      </c>
      <c r="R13" s="14">
        <f t="shared" si="1"/>
        <v>97750</v>
      </c>
      <c r="S13" s="14">
        <f t="shared" si="1"/>
        <v>78500</v>
      </c>
      <c r="T13" s="14">
        <f t="shared" si="1"/>
        <v>55750</v>
      </c>
      <c r="U13" s="14">
        <f t="shared" si="1"/>
        <v>56250</v>
      </c>
      <c r="V13" s="14">
        <f t="shared" si="1"/>
        <v>58350</v>
      </c>
      <c r="W13" s="14">
        <f t="shared" si="1"/>
        <v>0</v>
      </c>
      <c r="X13" s="14">
        <f t="shared" si="1"/>
        <v>0</v>
      </c>
      <c r="Y13" s="14">
        <f t="shared" si="1"/>
        <v>0</v>
      </c>
      <c r="Z13" s="14">
        <f t="shared" si="1"/>
        <v>36000</v>
      </c>
      <c r="AA13" s="14">
        <f t="shared" si="1"/>
        <v>38000</v>
      </c>
      <c r="AB13" s="14">
        <f t="shared" si="1"/>
        <v>37000</v>
      </c>
      <c r="AC13" s="14">
        <f t="shared" si="1"/>
        <v>86500</v>
      </c>
      <c r="AD13" s="14">
        <f t="shared" si="1"/>
        <v>38000</v>
      </c>
      <c r="AE13" s="14">
        <f t="shared" si="1"/>
        <v>19500</v>
      </c>
      <c r="AF13" s="14">
        <f t="shared" si="1"/>
        <v>84500</v>
      </c>
      <c r="AG13" s="14">
        <f t="shared" si="1"/>
        <v>0</v>
      </c>
      <c r="AH13" s="14">
        <f t="shared" si="1"/>
        <v>252500</v>
      </c>
      <c r="AI13" s="14">
        <f t="shared" si="1"/>
        <v>55750</v>
      </c>
      <c r="AJ13" s="14">
        <f t="shared" si="1"/>
        <v>0</v>
      </c>
      <c r="AK13" s="14">
        <f t="shared" si="1"/>
        <v>58000</v>
      </c>
      <c r="AL13" s="14">
        <f t="shared" si="1"/>
        <v>0</v>
      </c>
      <c r="AM13" s="14">
        <f t="shared" si="1"/>
        <v>61500</v>
      </c>
      <c r="AN13" s="14">
        <f t="shared" si="1"/>
        <v>0</v>
      </c>
      <c r="AO13" s="14">
        <f t="shared" si="1"/>
        <v>18500</v>
      </c>
      <c r="AP13" s="14">
        <f t="shared" si="1"/>
        <v>227161.3</v>
      </c>
      <c r="AQ13" s="14">
        <f t="shared" si="1"/>
        <v>18700</v>
      </c>
      <c r="AR13" s="14">
        <f t="shared" si="1"/>
        <v>0</v>
      </c>
      <c r="AS13" s="14">
        <f t="shared" si="1"/>
        <v>0</v>
      </c>
      <c r="AT13" s="14">
        <f t="shared" si="1"/>
        <v>3167095.8899999997</v>
      </c>
      <c r="AU13" s="10">
        <f>SUM(AU8:AU12)</f>
        <v>1</v>
      </c>
      <c r="AV13" s="11"/>
    </row>
    <row r="14" spans="1:49" ht="13.5" customHeight="1" thickTop="1" x14ac:dyDescent="0.2">
      <c r="A14" s="114" t="s">
        <v>38</v>
      </c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</row>
    <row r="15" spans="1:49" x14ac:dyDescent="0.2">
      <c r="A15" s="5" t="s">
        <v>39</v>
      </c>
      <c r="B15" s="6">
        <v>111652.02999999997</v>
      </c>
      <c r="C15" s="6">
        <v>0</v>
      </c>
      <c r="D15" s="6"/>
      <c r="E15" s="6">
        <v>43911.39</v>
      </c>
      <c r="F15" s="6">
        <v>124022.17000000001</v>
      </c>
      <c r="G15" s="6">
        <v>30006.32</v>
      </c>
      <c r="H15" s="6"/>
      <c r="I15" s="6">
        <v>190441.12</v>
      </c>
      <c r="J15" s="6">
        <v>87483.04</v>
      </c>
      <c r="K15" s="6">
        <v>8218</v>
      </c>
      <c r="L15" s="6">
        <v>39485.44000000001</v>
      </c>
      <c r="M15" s="6">
        <v>18349.84</v>
      </c>
      <c r="N15" s="6">
        <v>0</v>
      </c>
      <c r="O15" s="6"/>
      <c r="P15" s="6">
        <v>36559.42</v>
      </c>
      <c r="Q15" s="6">
        <v>8965</v>
      </c>
      <c r="R15" s="6">
        <v>46884.7</v>
      </c>
      <c r="S15" s="6">
        <v>38409.32</v>
      </c>
      <c r="T15" s="6">
        <v>22871.39</v>
      </c>
      <c r="U15" s="6">
        <v>16039.999999999996</v>
      </c>
      <c r="V15" s="6">
        <v>26520.5</v>
      </c>
      <c r="W15" s="6"/>
      <c r="X15" s="6"/>
      <c r="Y15" s="6"/>
      <c r="Z15" s="6">
        <v>17768</v>
      </c>
      <c r="AA15" s="6">
        <v>12416.380000000001</v>
      </c>
      <c r="AB15" s="6">
        <v>20509.72</v>
      </c>
      <c r="AC15" s="6">
        <v>35195.440000000002</v>
      </c>
      <c r="AD15" s="6">
        <v>18498.18</v>
      </c>
      <c r="AE15" s="6">
        <v>8805</v>
      </c>
      <c r="AF15" s="6">
        <v>40046.89</v>
      </c>
      <c r="AG15" s="6"/>
      <c r="AH15" s="6">
        <v>85628.68</v>
      </c>
      <c r="AI15" s="6">
        <v>9085</v>
      </c>
      <c r="AJ15" s="6">
        <v>0</v>
      </c>
      <c r="AK15" s="6">
        <v>29316.51</v>
      </c>
      <c r="AL15" s="6"/>
      <c r="AM15" s="6">
        <v>26015</v>
      </c>
      <c r="AN15" s="6"/>
      <c r="AO15" s="6">
        <v>9085</v>
      </c>
      <c r="AP15" s="6">
        <v>99173.900000000009</v>
      </c>
      <c r="AQ15" s="6">
        <v>8125</v>
      </c>
      <c r="AR15" s="6">
        <v>0</v>
      </c>
      <c r="AS15" s="6">
        <v>280558.8</v>
      </c>
      <c r="AT15" s="7">
        <f>SUM(B15:AS15)</f>
        <v>1550047.18</v>
      </c>
      <c r="AU15" s="8">
        <f t="shared" ref="AU15:AU40" si="2">AT15/$AT$45</f>
        <v>0.53317966897966507</v>
      </c>
      <c r="AV15" s="11" t="s">
        <v>68</v>
      </c>
      <c r="AW15" s="11"/>
    </row>
    <row r="16" spans="1:49" x14ac:dyDescent="0.2">
      <c r="A16" s="5" t="s">
        <v>40</v>
      </c>
      <c r="B16" s="6">
        <v>11229.71</v>
      </c>
      <c r="C16" s="6">
        <v>0</v>
      </c>
      <c r="D16" s="6"/>
      <c r="E16" s="6">
        <v>4544.55</v>
      </c>
      <c r="F16" s="6">
        <v>12209.77</v>
      </c>
      <c r="G16" s="6">
        <v>2768.36</v>
      </c>
      <c r="H16" s="6"/>
      <c r="I16" s="6">
        <v>20741.38</v>
      </c>
      <c r="J16" s="6">
        <v>9296.7200000000012</v>
      </c>
      <c r="K16" s="6">
        <v>854.5</v>
      </c>
      <c r="L16" s="6">
        <v>3399.9300000000003</v>
      </c>
      <c r="M16" s="6">
        <v>1921.9399999999996</v>
      </c>
      <c r="N16" s="6">
        <v>0</v>
      </c>
      <c r="O16" s="6"/>
      <c r="P16" s="6">
        <v>3698.51</v>
      </c>
      <c r="Q16" s="6">
        <v>930.88</v>
      </c>
      <c r="R16" s="6">
        <v>4659.8499999999995</v>
      </c>
      <c r="S16" s="6">
        <v>3693.0499999999997</v>
      </c>
      <c r="T16" s="6">
        <v>1789.4700000000003</v>
      </c>
      <c r="U16" s="6">
        <v>1872.5</v>
      </c>
      <c r="V16" s="6">
        <v>2806.7</v>
      </c>
      <c r="W16" s="6"/>
      <c r="X16" s="6"/>
      <c r="Y16" s="6"/>
      <c r="Z16" s="6">
        <v>1841.9099999999999</v>
      </c>
      <c r="AA16" s="6">
        <v>1584.5400000000002</v>
      </c>
      <c r="AB16" s="6">
        <v>1872.27</v>
      </c>
      <c r="AC16" s="6">
        <v>3698.46</v>
      </c>
      <c r="AD16" s="6">
        <v>1842.62</v>
      </c>
      <c r="AE16" s="6">
        <v>920.95999999999992</v>
      </c>
      <c r="AF16" s="6">
        <v>3988.5999999999995</v>
      </c>
      <c r="AG16" s="6"/>
      <c r="AH16" s="6">
        <v>9280.4</v>
      </c>
      <c r="AI16" s="6">
        <v>920.95999999999992</v>
      </c>
      <c r="AJ16" s="6">
        <v>0</v>
      </c>
      <c r="AK16" s="6">
        <v>2259.8900000000003</v>
      </c>
      <c r="AL16" s="6"/>
      <c r="AM16" s="6">
        <v>2765.8500000000004</v>
      </c>
      <c r="AN16" s="6"/>
      <c r="AO16" s="6">
        <v>1357.6999999999998</v>
      </c>
      <c r="AP16" s="6">
        <v>12072.69</v>
      </c>
      <c r="AQ16" s="6">
        <v>930.52</v>
      </c>
      <c r="AR16" s="6">
        <v>0</v>
      </c>
      <c r="AS16" s="6">
        <v>14295.6</v>
      </c>
      <c r="AT16" s="7">
        <f t="shared" ref="AT16:AT44" si="3">SUM(B16:AS16)</f>
        <v>146050.79000000004</v>
      </c>
      <c r="AU16" s="8">
        <f t="shared" si="2"/>
        <v>5.0238026862136284E-2</v>
      </c>
      <c r="AV16" s="11" t="s">
        <v>68</v>
      </c>
      <c r="AW16" s="11"/>
    </row>
    <row r="17" spans="1:49" x14ac:dyDescent="0.2">
      <c r="A17" s="5" t="s">
        <v>41</v>
      </c>
      <c r="B17" s="6">
        <v>8927.2999999999993</v>
      </c>
      <c r="C17" s="6">
        <v>0</v>
      </c>
      <c r="D17" s="6"/>
      <c r="E17" s="6">
        <v>3495.8699999999994</v>
      </c>
      <c r="F17" s="6">
        <v>9839.9299999999985</v>
      </c>
      <c r="G17" s="6">
        <v>2197.27</v>
      </c>
      <c r="H17" s="6"/>
      <c r="I17" s="6">
        <v>15569.869999999999</v>
      </c>
      <c r="J17" s="6">
        <v>8362.84</v>
      </c>
      <c r="K17" s="6">
        <v>644.12</v>
      </c>
      <c r="L17" s="6">
        <v>1978.7800000000007</v>
      </c>
      <c r="M17" s="6">
        <v>1538.54</v>
      </c>
      <c r="N17" s="6">
        <v>0</v>
      </c>
      <c r="O17" s="6"/>
      <c r="P17" s="6">
        <v>2852.88</v>
      </c>
      <c r="Q17" s="6">
        <v>731.3</v>
      </c>
      <c r="R17" s="6">
        <v>3748.61</v>
      </c>
      <c r="S17" s="6">
        <v>2926.99</v>
      </c>
      <c r="T17" s="6">
        <v>1596.0900000000001</v>
      </c>
      <c r="U17" s="6">
        <v>1549.79</v>
      </c>
      <c r="V17" s="6">
        <v>2245.71</v>
      </c>
      <c r="W17" s="6"/>
      <c r="X17" s="6"/>
      <c r="Y17" s="6"/>
      <c r="Z17" s="6">
        <v>1650.46</v>
      </c>
      <c r="AA17" s="6">
        <v>1214.0300000000002</v>
      </c>
      <c r="AB17" s="6">
        <v>1545.58</v>
      </c>
      <c r="AC17" s="6">
        <v>2938.81</v>
      </c>
      <c r="AD17" s="6">
        <v>1465.97</v>
      </c>
      <c r="AE17" s="6">
        <v>732.15</v>
      </c>
      <c r="AF17" s="6">
        <v>2222.4</v>
      </c>
      <c r="AG17" s="6"/>
      <c r="AH17" s="6">
        <v>6457.3499999999995</v>
      </c>
      <c r="AI17" s="6">
        <v>732.15</v>
      </c>
      <c r="AJ17" s="6">
        <v>0</v>
      </c>
      <c r="AK17" s="6">
        <v>1905.8500000000001</v>
      </c>
      <c r="AL17" s="6"/>
      <c r="AM17" s="6">
        <v>1944.37</v>
      </c>
      <c r="AN17" s="6"/>
      <c r="AO17" s="6">
        <v>927.66999999999985</v>
      </c>
      <c r="AP17" s="6">
        <v>10881.67</v>
      </c>
      <c r="AQ17" s="6">
        <v>730.47</v>
      </c>
      <c r="AR17" s="6">
        <v>0</v>
      </c>
      <c r="AS17" s="6">
        <v>14388.41</v>
      </c>
      <c r="AT17" s="7">
        <f t="shared" si="3"/>
        <v>117943.23</v>
      </c>
      <c r="AU17" s="8">
        <f t="shared" si="2"/>
        <v>4.0569689194745996E-2</v>
      </c>
      <c r="AV17" s="11" t="s">
        <v>68</v>
      </c>
      <c r="AW17" s="11"/>
    </row>
    <row r="18" spans="1:49" x14ac:dyDescent="0.2">
      <c r="A18" s="5" t="s">
        <v>42</v>
      </c>
      <c r="B18" s="6">
        <v>5244.2400000000007</v>
      </c>
      <c r="C18" s="6">
        <v>0</v>
      </c>
      <c r="D18" s="6"/>
      <c r="E18" s="6">
        <v>2072.98</v>
      </c>
      <c r="F18" s="6">
        <v>5815.48</v>
      </c>
      <c r="G18" s="6">
        <v>1302.93</v>
      </c>
      <c r="H18" s="6"/>
      <c r="I18" s="6">
        <v>9207.09</v>
      </c>
      <c r="J18" s="6">
        <v>4986.99</v>
      </c>
      <c r="K18" s="6">
        <v>381.95</v>
      </c>
      <c r="L18" s="6">
        <v>1173.3699999999999</v>
      </c>
      <c r="M18" s="6">
        <v>912.32</v>
      </c>
      <c r="N18" s="6">
        <v>0</v>
      </c>
      <c r="O18" s="6"/>
      <c r="P18" s="6">
        <v>2584.64</v>
      </c>
      <c r="Q18" s="6">
        <v>433.64</v>
      </c>
      <c r="R18" s="6">
        <v>2215.27</v>
      </c>
      <c r="S18" s="6">
        <v>1735.63</v>
      </c>
      <c r="T18" s="6">
        <v>946.45</v>
      </c>
      <c r="U18" s="6">
        <v>146.28999999999996</v>
      </c>
      <c r="V18" s="6">
        <v>1331.65</v>
      </c>
      <c r="W18" s="6"/>
      <c r="X18" s="6"/>
      <c r="Y18" s="6"/>
      <c r="Z18" s="6">
        <v>978.68999999999994</v>
      </c>
      <c r="AA18" s="6">
        <v>719.88000000000011</v>
      </c>
      <c r="AB18" s="6">
        <v>916.5</v>
      </c>
      <c r="AC18" s="6">
        <v>1742.65</v>
      </c>
      <c r="AD18" s="6">
        <v>869.29</v>
      </c>
      <c r="AE18" s="6">
        <v>434.15</v>
      </c>
      <c r="AF18" s="6">
        <v>1317.8400000000001</v>
      </c>
      <c r="AG18" s="6"/>
      <c r="AH18" s="6">
        <v>3829.0499999999997</v>
      </c>
      <c r="AI18" s="6">
        <v>434.15</v>
      </c>
      <c r="AJ18" s="6">
        <v>0</v>
      </c>
      <c r="AK18" s="6">
        <v>1130.1300000000001</v>
      </c>
      <c r="AL18" s="6"/>
      <c r="AM18" s="6">
        <v>1152.97</v>
      </c>
      <c r="AN18" s="6"/>
      <c r="AO18" s="6">
        <v>429.83999999999992</v>
      </c>
      <c r="AP18" s="6">
        <v>6478.4800000000005</v>
      </c>
      <c r="AQ18" s="6">
        <v>433.15</v>
      </c>
      <c r="AR18" s="6">
        <v>0</v>
      </c>
      <c r="AS18" s="6">
        <v>8855.2000000000007</v>
      </c>
      <c r="AT18" s="7">
        <f t="shared" si="3"/>
        <v>70212.89</v>
      </c>
      <c r="AU18" s="8">
        <f t="shared" si="2"/>
        <v>2.4151578049582744E-2</v>
      </c>
      <c r="AV18" s="11" t="s">
        <v>68</v>
      </c>
      <c r="AW18" s="11"/>
    </row>
    <row r="19" spans="1:49" x14ac:dyDescent="0.2">
      <c r="A19" s="5" t="s">
        <v>43</v>
      </c>
      <c r="B19" s="6">
        <v>4456.2900000000009</v>
      </c>
      <c r="C19" s="6">
        <v>0</v>
      </c>
      <c r="D19" s="6"/>
      <c r="E19" s="6">
        <v>1752.61</v>
      </c>
      <c r="F19" s="6">
        <v>4950.0099999999993</v>
      </c>
      <c r="G19" s="6">
        <v>1197.6199999999999</v>
      </c>
      <c r="H19" s="6"/>
      <c r="I19" s="6">
        <v>7600.9500000000007</v>
      </c>
      <c r="J19" s="6">
        <v>3491.6499999999996</v>
      </c>
      <c r="K19" s="6">
        <v>328</v>
      </c>
      <c r="L19" s="6">
        <v>1575.9600000000003</v>
      </c>
      <c r="M19" s="6">
        <v>732.38000000000011</v>
      </c>
      <c r="N19" s="6">
        <v>0</v>
      </c>
      <c r="O19" s="6"/>
      <c r="P19" s="6">
        <v>1459.17</v>
      </c>
      <c r="Q19" s="6">
        <v>357.81</v>
      </c>
      <c r="R19" s="6">
        <v>1871.28</v>
      </c>
      <c r="S19" s="6">
        <v>1533.01</v>
      </c>
      <c r="T19" s="6">
        <v>912.85</v>
      </c>
      <c r="U19" s="6">
        <v>640.18999999999994</v>
      </c>
      <c r="V19" s="6">
        <v>1058.5</v>
      </c>
      <c r="W19" s="6"/>
      <c r="X19" s="6"/>
      <c r="Y19" s="6"/>
      <c r="Z19" s="6">
        <v>709.16000000000008</v>
      </c>
      <c r="AA19" s="6">
        <v>495.56999999999994</v>
      </c>
      <c r="AB19" s="6">
        <v>818.59</v>
      </c>
      <c r="AC19" s="6">
        <v>1404.7299999999998</v>
      </c>
      <c r="AD19" s="6">
        <v>738.31000000000006</v>
      </c>
      <c r="AE19" s="6">
        <v>351.43000000000006</v>
      </c>
      <c r="AF19" s="6">
        <v>1598.36</v>
      </c>
      <c r="AG19" s="6"/>
      <c r="AH19" s="6">
        <v>3417.64</v>
      </c>
      <c r="AI19" s="6">
        <v>362.6</v>
      </c>
      <c r="AJ19" s="6">
        <v>0</v>
      </c>
      <c r="AK19" s="6">
        <v>1170.0899999999999</v>
      </c>
      <c r="AL19" s="6"/>
      <c r="AM19" s="6">
        <v>1038.3200000000002</v>
      </c>
      <c r="AN19" s="6"/>
      <c r="AO19" s="6">
        <v>362.6</v>
      </c>
      <c r="AP19" s="6">
        <v>3958.26</v>
      </c>
      <c r="AQ19" s="6">
        <v>324.16000000000003</v>
      </c>
      <c r="AR19" s="6">
        <v>0</v>
      </c>
      <c r="AS19" s="6">
        <v>11197.76</v>
      </c>
      <c r="AT19" s="7">
        <f t="shared" si="3"/>
        <v>61865.86</v>
      </c>
      <c r="AU19" s="8">
        <f t="shared" si="2"/>
        <v>2.1280396610858194E-2</v>
      </c>
      <c r="AW19" s="11"/>
    </row>
    <row r="20" spans="1:49" x14ac:dyDescent="0.2">
      <c r="A20" s="5" t="s">
        <v>44</v>
      </c>
      <c r="B20" s="6">
        <v>0</v>
      </c>
      <c r="C20" s="6">
        <v>0</v>
      </c>
      <c r="D20" s="6"/>
      <c r="E20" s="6">
        <v>0</v>
      </c>
      <c r="F20" s="6">
        <v>0</v>
      </c>
      <c r="G20" s="6">
        <v>0</v>
      </c>
      <c r="H20" s="6"/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/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/>
      <c r="X20" s="6"/>
      <c r="Y20" s="6"/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/>
      <c r="AH20" s="6">
        <v>0</v>
      </c>
      <c r="AI20" s="6">
        <v>0</v>
      </c>
      <c r="AJ20" s="6">
        <v>0</v>
      </c>
      <c r="AK20" s="6">
        <v>0</v>
      </c>
      <c r="AL20" s="6"/>
      <c r="AM20" s="6">
        <v>0</v>
      </c>
      <c r="AN20" s="6"/>
      <c r="AO20" s="6">
        <v>0</v>
      </c>
      <c r="AP20" s="6">
        <v>0</v>
      </c>
      <c r="AQ20" s="6">
        <v>0</v>
      </c>
      <c r="AR20" s="6">
        <v>0</v>
      </c>
      <c r="AS20" s="6">
        <v>1669</v>
      </c>
      <c r="AT20" s="7">
        <f t="shared" si="3"/>
        <v>1669</v>
      </c>
      <c r="AU20" s="8">
        <f t="shared" si="2"/>
        <v>5.7409663332122637E-4</v>
      </c>
      <c r="AW20" s="11"/>
    </row>
    <row r="21" spans="1:49" x14ac:dyDescent="0.2">
      <c r="A21" s="5" t="s">
        <v>45</v>
      </c>
      <c r="B21" s="6">
        <v>0</v>
      </c>
      <c r="C21" s="6">
        <v>0</v>
      </c>
      <c r="D21" s="6"/>
      <c r="E21" s="6">
        <v>0</v>
      </c>
      <c r="F21" s="6">
        <v>0</v>
      </c>
      <c r="G21" s="6">
        <v>0</v>
      </c>
      <c r="H21" s="6"/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/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/>
      <c r="X21" s="6"/>
      <c r="Y21" s="6"/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/>
      <c r="AH21" s="6">
        <v>0</v>
      </c>
      <c r="AI21" s="6">
        <v>0</v>
      </c>
      <c r="AJ21" s="6">
        <v>0</v>
      </c>
      <c r="AK21" s="6">
        <v>0</v>
      </c>
      <c r="AL21" s="6"/>
      <c r="AM21" s="6">
        <v>0</v>
      </c>
      <c r="AN21" s="6"/>
      <c r="AO21" s="6">
        <v>0</v>
      </c>
      <c r="AP21" s="6">
        <v>0</v>
      </c>
      <c r="AQ21" s="6">
        <v>0</v>
      </c>
      <c r="AR21" s="6">
        <v>0</v>
      </c>
      <c r="AS21" s="6">
        <v>34256</v>
      </c>
      <c r="AT21" s="7">
        <f t="shared" si="3"/>
        <v>34256</v>
      </c>
      <c r="AU21" s="8">
        <f t="shared" si="2"/>
        <v>1.1783256004225242E-2</v>
      </c>
      <c r="AW21" s="11"/>
    </row>
    <row r="22" spans="1:49" x14ac:dyDescent="0.2">
      <c r="A22" s="5" t="s">
        <v>46</v>
      </c>
      <c r="B22" s="6">
        <v>5440</v>
      </c>
      <c r="C22" s="6">
        <v>0</v>
      </c>
      <c r="D22" s="6"/>
      <c r="E22" s="6">
        <v>0</v>
      </c>
      <c r="F22" s="6">
        <v>3400</v>
      </c>
      <c r="G22" s="6">
        <v>1360</v>
      </c>
      <c r="H22" s="6"/>
      <c r="I22" s="6">
        <v>0</v>
      </c>
      <c r="J22" s="6">
        <v>6120</v>
      </c>
      <c r="K22" s="6">
        <v>680</v>
      </c>
      <c r="L22" s="6">
        <v>3400</v>
      </c>
      <c r="M22" s="6">
        <v>2040</v>
      </c>
      <c r="N22" s="6">
        <v>0</v>
      </c>
      <c r="O22" s="6"/>
      <c r="P22" s="6">
        <v>1360</v>
      </c>
      <c r="Q22" s="6">
        <v>0</v>
      </c>
      <c r="R22" s="6">
        <v>0</v>
      </c>
      <c r="S22" s="6">
        <v>2040</v>
      </c>
      <c r="T22" s="6">
        <v>1360</v>
      </c>
      <c r="U22" s="6">
        <v>1360</v>
      </c>
      <c r="V22" s="6">
        <v>7690</v>
      </c>
      <c r="W22" s="6"/>
      <c r="X22" s="6"/>
      <c r="Y22" s="6"/>
      <c r="Z22" s="6">
        <v>0</v>
      </c>
      <c r="AA22" s="6">
        <v>0</v>
      </c>
      <c r="AB22" s="6">
        <v>680</v>
      </c>
      <c r="AC22" s="6">
        <v>2040</v>
      </c>
      <c r="AD22" s="6">
        <v>0</v>
      </c>
      <c r="AE22" s="6">
        <v>680</v>
      </c>
      <c r="AF22" s="6">
        <v>2720</v>
      </c>
      <c r="AG22" s="6"/>
      <c r="AH22" s="6">
        <v>7480</v>
      </c>
      <c r="AI22" s="6">
        <v>1360</v>
      </c>
      <c r="AJ22" s="6">
        <v>0</v>
      </c>
      <c r="AK22" s="6">
        <v>1360</v>
      </c>
      <c r="AL22" s="6"/>
      <c r="AM22" s="6">
        <v>2040</v>
      </c>
      <c r="AN22" s="6"/>
      <c r="AO22" s="6">
        <v>680</v>
      </c>
      <c r="AP22" s="6">
        <v>8160</v>
      </c>
      <c r="AQ22" s="6">
        <v>0</v>
      </c>
      <c r="AR22" s="6">
        <v>2040</v>
      </c>
      <c r="AS22" s="6">
        <v>6210</v>
      </c>
      <c r="AT22" s="7">
        <f t="shared" si="3"/>
        <v>71700</v>
      </c>
      <c r="AU22" s="8">
        <f t="shared" si="2"/>
        <v>2.4663108813140759E-2</v>
      </c>
      <c r="AW22" s="11"/>
    </row>
    <row r="23" spans="1:49" x14ac:dyDescent="0.2">
      <c r="A23" s="5" t="s">
        <v>47</v>
      </c>
      <c r="B23" s="6">
        <v>0</v>
      </c>
      <c r="C23" s="6">
        <v>0</v>
      </c>
      <c r="D23" s="6"/>
      <c r="E23" s="6">
        <v>0</v>
      </c>
      <c r="F23" s="6">
        <v>0</v>
      </c>
      <c r="G23" s="6">
        <v>0</v>
      </c>
      <c r="H23" s="6"/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/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/>
      <c r="X23" s="6"/>
      <c r="Y23" s="6"/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/>
      <c r="AH23" s="6">
        <v>0</v>
      </c>
      <c r="AI23" s="6">
        <v>0</v>
      </c>
      <c r="AJ23" s="6">
        <v>0</v>
      </c>
      <c r="AK23" s="6">
        <v>0</v>
      </c>
      <c r="AL23" s="6"/>
      <c r="AM23" s="6">
        <v>0</v>
      </c>
      <c r="AN23" s="6"/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7">
        <f t="shared" si="3"/>
        <v>0</v>
      </c>
      <c r="AU23" s="8">
        <f t="shared" si="2"/>
        <v>0</v>
      </c>
      <c r="AW23" s="11"/>
    </row>
    <row r="24" spans="1:49" x14ac:dyDescent="0.2">
      <c r="A24" s="5" t="s">
        <v>48</v>
      </c>
      <c r="B24" s="6">
        <v>567.24</v>
      </c>
      <c r="C24" s="6">
        <v>567.24</v>
      </c>
      <c r="D24" s="6"/>
      <c r="E24" s="6">
        <v>567.24</v>
      </c>
      <c r="F24" s="6">
        <v>567.24</v>
      </c>
      <c r="G24" s="6">
        <v>567.24</v>
      </c>
      <c r="H24" s="6"/>
      <c r="I24" s="6">
        <v>0</v>
      </c>
      <c r="J24" s="6">
        <v>567.24</v>
      </c>
      <c r="K24" s="6">
        <v>0</v>
      </c>
      <c r="L24" s="6">
        <v>567.24</v>
      </c>
      <c r="M24" s="6">
        <v>567.24</v>
      </c>
      <c r="N24" s="6">
        <v>567.24</v>
      </c>
      <c r="O24" s="6"/>
      <c r="P24" s="6">
        <v>567.24</v>
      </c>
      <c r="Q24" s="6">
        <v>567.24</v>
      </c>
      <c r="R24" s="6">
        <v>1134.48</v>
      </c>
      <c r="S24" s="6">
        <v>567.24</v>
      </c>
      <c r="T24" s="6">
        <v>567.24</v>
      </c>
      <c r="U24" s="6">
        <v>567.24</v>
      </c>
      <c r="V24" s="6">
        <v>1134.48</v>
      </c>
      <c r="W24" s="6"/>
      <c r="X24" s="6"/>
      <c r="Y24" s="6"/>
      <c r="Z24" s="6">
        <v>567.24</v>
      </c>
      <c r="AA24" s="6">
        <v>567.24</v>
      </c>
      <c r="AB24" s="6">
        <v>567.24</v>
      </c>
      <c r="AC24" s="6">
        <v>567.24</v>
      </c>
      <c r="AD24" s="6">
        <v>567.24</v>
      </c>
      <c r="AE24" s="6">
        <v>567.24</v>
      </c>
      <c r="AF24" s="6">
        <v>1134.48</v>
      </c>
      <c r="AG24" s="6"/>
      <c r="AH24" s="6">
        <v>567.24</v>
      </c>
      <c r="AI24" s="6">
        <v>567.24</v>
      </c>
      <c r="AJ24" s="6">
        <v>0</v>
      </c>
      <c r="AK24" s="6">
        <v>567.24</v>
      </c>
      <c r="AL24" s="6"/>
      <c r="AM24" s="6">
        <v>567.24</v>
      </c>
      <c r="AN24" s="6"/>
      <c r="AO24" s="6">
        <v>567.24</v>
      </c>
      <c r="AP24" s="6">
        <v>1134.48</v>
      </c>
      <c r="AQ24" s="6">
        <v>567.24</v>
      </c>
      <c r="AR24" s="6">
        <v>0</v>
      </c>
      <c r="AS24" s="34">
        <v>8062.12</v>
      </c>
      <c r="AT24" s="7">
        <f t="shared" si="3"/>
        <v>27348.28</v>
      </c>
      <c r="AU24" s="8">
        <f t="shared" si="2"/>
        <v>9.4071632565166131E-3</v>
      </c>
      <c r="AW24" s="11"/>
    </row>
    <row r="25" spans="1:49" x14ac:dyDescent="0.2">
      <c r="A25" s="5" t="s">
        <v>49</v>
      </c>
      <c r="B25" s="6">
        <v>305.50999999999993</v>
      </c>
      <c r="C25" s="6">
        <v>299.42</v>
      </c>
      <c r="D25" s="6"/>
      <c r="E25" s="6">
        <v>155.75</v>
      </c>
      <c r="F25" s="6">
        <v>369.15000000000003</v>
      </c>
      <c r="G25" s="6">
        <v>117.64999999999999</v>
      </c>
      <c r="H25" s="6"/>
      <c r="I25" s="6">
        <v>0</v>
      </c>
      <c r="J25" s="6">
        <v>88</v>
      </c>
      <c r="K25" s="6">
        <v>0</v>
      </c>
      <c r="L25" s="6">
        <v>120.84000000000002</v>
      </c>
      <c r="M25" s="6">
        <v>96.86</v>
      </c>
      <c r="N25" s="6">
        <v>0</v>
      </c>
      <c r="O25" s="6"/>
      <c r="P25" s="6">
        <v>283.38</v>
      </c>
      <c r="Q25" s="6">
        <v>126.17000000000002</v>
      </c>
      <c r="R25" s="6">
        <v>264.64</v>
      </c>
      <c r="S25" s="6">
        <v>249.79999999999995</v>
      </c>
      <c r="T25" s="6">
        <v>272.10000000000002</v>
      </c>
      <c r="U25" s="6">
        <v>178.89000000000004</v>
      </c>
      <c r="V25" s="6">
        <v>856.66000000000008</v>
      </c>
      <c r="W25" s="6"/>
      <c r="X25" s="6"/>
      <c r="Y25" s="6"/>
      <c r="Z25" s="6">
        <v>0</v>
      </c>
      <c r="AA25" s="6">
        <v>292.24999999999994</v>
      </c>
      <c r="AB25" s="6">
        <v>86.419999999999987</v>
      </c>
      <c r="AC25" s="6">
        <v>402.89999999999992</v>
      </c>
      <c r="AD25" s="6">
        <v>83.2</v>
      </c>
      <c r="AE25" s="6">
        <v>85.45</v>
      </c>
      <c r="AF25" s="6">
        <v>243.84000000000003</v>
      </c>
      <c r="AG25" s="6"/>
      <c r="AH25" s="6">
        <v>200.82999999999998</v>
      </c>
      <c r="AI25" s="6">
        <v>151.44999999999999</v>
      </c>
      <c r="AJ25" s="6">
        <v>0</v>
      </c>
      <c r="AK25" s="6">
        <v>354.28000000000003</v>
      </c>
      <c r="AL25" s="6"/>
      <c r="AM25" s="6">
        <v>0</v>
      </c>
      <c r="AN25" s="6"/>
      <c r="AO25" s="6">
        <v>43.53</v>
      </c>
      <c r="AP25" s="6">
        <v>200.49000000000004</v>
      </c>
      <c r="AQ25" s="6">
        <v>0</v>
      </c>
      <c r="AR25" s="6">
        <v>0</v>
      </c>
      <c r="AS25" s="6">
        <v>632.25</v>
      </c>
      <c r="AT25" s="7">
        <f t="shared" si="3"/>
        <v>6561.7099999999982</v>
      </c>
      <c r="AU25" s="8">
        <f t="shared" si="2"/>
        <v>2.2570734690414759E-3</v>
      </c>
      <c r="AW25" s="11"/>
    </row>
    <row r="26" spans="1:49" x14ac:dyDescent="0.2">
      <c r="A26" s="5" t="s">
        <v>50</v>
      </c>
      <c r="B26" s="6">
        <v>0</v>
      </c>
      <c r="C26" s="6">
        <v>0</v>
      </c>
      <c r="D26" s="6"/>
      <c r="E26" s="6">
        <v>0</v>
      </c>
      <c r="F26" s="6">
        <v>0</v>
      </c>
      <c r="G26" s="6">
        <v>0</v>
      </c>
      <c r="H26" s="6"/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/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/>
      <c r="X26" s="6"/>
      <c r="Y26" s="6"/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/>
      <c r="AH26" s="6">
        <v>0</v>
      </c>
      <c r="AI26" s="6">
        <v>0</v>
      </c>
      <c r="AJ26" s="6">
        <v>0</v>
      </c>
      <c r="AK26" s="6">
        <v>0</v>
      </c>
      <c r="AL26" s="6"/>
      <c r="AM26" s="6">
        <v>0</v>
      </c>
      <c r="AN26" s="6"/>
      <c r="AO26" s="6">
        <v>0</v>
      </c>
      <c r="AP26" s="6">
        <v>0</v>
      </c>
      <c r="AQ26" s="6">
        <v>0</v>
      </c>
      <c r="AR26" s="6">
        <v>0</v>
      </c>
      <c r="AS26" s="6">
        <v>44837.98</v>
      </c>
      <c r="AT26" s="7">
        <f t="shared" si="3"/>
        <v>44837.98</v>
      </c>
      <c r="AU26" s="8">
        <f t="shared" si="2"/>
        <v>1.5423207527216586E-2</v>
      </c>
      <c r="AW26" s="11"/>
    </row>
    <row r="27" spans="1:49" x14ac:dyDescent="0.2">
      <c r="A27" s="5" t="s">
        <v>51</v>
      </c>
      <c r="B27" s="6">
        <v>0</v>
      </c>
      <c r="C27" s="6">
        <v>0</v>
      </c>
      <c r="D27" s="6"/>
      <c r="E27" s="6">
        <v>0</v>
      </c>
      <c r="F27" s="6">
        <v>0</v>
      </c>
      <c r="G27" s="6">
        <v>0</v>
      </c>
      <c r="H27" s="6"/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/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/>
      <c r="X27" s="6"/>
      <c r="Y27" s="6"/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/>
      <c r="AH27" s="6">
        <v>0</v>
      </c>
      <c r="AI27" s="6">
        <v>0</v>
      </c>
      <c r="AJ27" s="6">
        <v>0</v>
      </c>
      <c r="AK27" s="6">
        <v>0</v>
      </c>
      <c r="AL27" s="6"/>
      <c r="AM27" s="6">
        <v>0</v>
      </c>
      <c r="AN27" s="6"/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7">
        <f t="shared" si="3"/>
        <v>0</v>
      </c>
      <c r="AU27" s="8">
        <f t="shared" si="2"/>
        <v>0</v>
      </c>
      <c r="AW27" s="11"/>
    </row>
    <row r="28" spans="1:49" x14ac:dyDescent="0.2">
      <c r="A28" s="5" t="s">
        <v>52</v>
      </c>
      <c r="B28" s="6">
        <v>0</v>
      </c>
      <c r="C28" s="6">
        <v>0</v>
      </c>
      <c r="D28" s="6"/>
      <c r="E28" s="6">
        <v>0</v>
      </c>
      <c r="F28" s="6">
        <v>0</v>
      </c>
      <c r="G28" s="6">
        <v>0</v>
      </c>
      <c r="H28" s="6"/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/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/>
      <c r="X28" s="6"/>
      <c r="Y28" s="6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/>
      <c r="AH28" s="6">
        <v>0</v>
      </c>
      <c r="AI28" s="6">
        <v>0</v>
      </c>
      <c r="AJ28" s="6">
        <v>0</v>
      </c>
      <c r="AK28" s="6">
        <v>0</v>
      </c>
      <c r="AL28" s="6"/>
      <c r="AM28" s="6">
        <v>0</v>
      </c>
      <c r="AN28" s="6"/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7">
        <f t="shared" si="3"/>
        <v>0</v>
      </c>
      <c r="AU28" s="8">
        <f t="shared" si="2"/>
        <v>0</v>
      </c>
      <c r="AW28" s="11"/>
    </row>
    <row r="29" spans="1:49" x14ac:dyDescent="0.2">
      <c r="A29" s="5" t="s">
        <v>53</v>
      </c>
      <c r="B29" s="6">
        <v>0</v>
      </c>
      <c r="C29" s="6">
        <v>0</v>
      </c>
      <c r="D29" s="6"/>
      <c r="E29" s="6">
        <v>0</v>
      </c>
      <c r="F29" s="6">
        <v>0</v>
      </c>
      <c r="G29" s="6">
        <v>0</v>
      </c>
      <c r="H29" s="6"/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/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/>
      <c r="X29" s="6"/>
      <c r="Y29" s="6"/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/>
      <c r="AH29" s="6">
        <v>0</v>
      </c>
      <c r="AI29" s="6">
        <v>0</v>
      </c>
      <c r="AJ29" s="6">
        <v>0</v>
      </c>
      <c r="AK29" s="6">
        <v>0</v>
      </c>
      <c r="AL29" s="6"/>
      <c r="AM29" s="6">
        <v>0</v>
      </c>
      <c r="AN29" s="6"/>
      <c r="AO29" s="6">
        <v>0</v>
      </c>
      <c r="AP29" s="6">
        <v>0</v>
      </c>
      <c r="AQ29" s="6">
        <v>0</v>
      </c>
      <c r="AR29" s="6">
        <v>0</v>
      </c>
      <c r="AS29" s="6">
        <v>12945</v>
      </c>
      <c r="AT29" s="7">
        <f t="shared" si="3"/>
        <v>12945</v>
      </c>
      <c r="AU29" s="8">
        <f t="shared" si="2"/>
        <v>4.4527746664729034E-3</v>
      </c>
      <c r="AW29" s="11"/>
    </row>
    <row r="30" spans="1:49" x14ac:dyDescent="0.2">
      <c r="A30" s="5" t="s">
        <v>54</v>
      </c>
      <c r="B30" s="6">
        <v>0</v>
      </c>
      <c r="C30" s="6">
        <v>0</v>
      </c>
      <c r="D30" s="6"/>
      <c r="E30" s="6">
        <v>0</v>
      </c>
      <c r="F30" s="6">
        <v>0</v>
      </c>
      <c r="G30" s="6">
        <v>0</v>
      </c>
      <c r="H30" s="6"/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/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/>
      <c r="X30" s="6"/>
      <c r="Y30" s="6"/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/>
      <c r="AH30" s="6">
        <v>0</v>
      </c>
      <c r="AI30" s="6">
        <v>0</v>
      </c>
      <c r="AJ30" s="6">
        <v>0</v>
      </c>
      <c r="AK30" s="6">
        <v>0</v>
      </c>
      <c r="AL30" s="6"/>
      <c r="AM30" s="6">
        <v>0</v>
      </c>
      <c r="AN30" s="6"/>
      <c r="AO30" s="6">
        <v>0</v>
      </c>
      <c r="AP30" s="6">
        <v>0</v>
      </c>
      <c r="AQ30" s="6">
        <v>0</v>
      </c>
      <c r="AR30" s="6">
        <v>0</v>
      </c>
      <c r="AS30" s="6">
        <v>1600</v>
      </c>
      <c r="AT30" s="7">
        <f t="shared" si="3"/>
        <v>1600</v>
      </c>
      <c r="AU30" s="8">
        <f t="shared" si="2"/>
        <v>5.5036226082322477E-4</v>
      </c>
      <c r="AW30" s="11"/>
    </row>
    <row r="31" spans="1:49" x14ac:dyDescent="0.2">
      <c r="A31" s="5" t="s">
        <v>55</v>
      </c>
      <c r="B31" s="6">
        <v>0</v>
      </c>
      <c r="C31" s="6">
        <v>0</v>
      </c>
      <c r="D31" s="6"/>
      <c r="E31" s="6">
        <v>0</v>
      </c>
      <c r="F31" s="6">
        <v>0</v>
      </c>
      <c r="G31" s="6">
        <v>0</v>
      </c>
      <c r="H31" s="6"/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/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/>
      <c r="X31" s="6"/>
      <c r="Y31" s="6"/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/>
      <c r="AH31" s="6">
        <v>0</v>
      </c>
      <c r="AI31" s="6">
        <v>0</v>
      </c>
      <c r="AJ31" s="6">
        <v>0</v>
      </c>
      <c r="AK31" s="6">
        <v>0</v>
      </c>
      <c r="AL31" s="6"/>
      <c r="AM31" s="6">
        <v>0</v>
      </c>
      <c r="AN31" s="6"/>
      <c r="AO31" s="6">
        <v>0</v>
      </c>
      <c r="AP31" s="6">
        <v>0</v>
      </c>
      <c r="AQ31" s="6">
        <v>0</v>
      </c>
      <c r="AR31" s="6">
        <v>0</v>
      </c>
      <c r="AS31" s="6">
        <v>18703.14</v>
      </c>
      <c r="AT31" s="7">
        <f t="shared" si="3"/>
        <v>18703.14</v>
      </c>
      <c r="AU31" s="8">
        <f t="shared" si="2"/>
        <v>6.433439009308305E-3</v>
      </c>
      <c r="AW31" s="11"/>
    </row>
    <row r="32" spans="1:49" x14ac:dyDescent="0.2">
      <c r="A32" s="5" t="s">
        <v>56</v>
      </c>
      <c r="B32" s="6">
        <v>0</v>
      </c>
      <c r="C32" s="6">
        <v>0</v>
      </c>
      <c r="D32" s="6"/>
      <c r="E32" s="6">
        <v>0</v>
      </c>
      <c r="F32" s="6">
        <v>0</v>
      </c>
      <c r="G32" s="6">
        <v>0</v>
      </c>
      <c r="H32" s="6"/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/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/>
      <c r="X32" s="6"/>
      <c r="Y32" s="6"/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/>
      <c r="AH32" s="6">
        <v>0</v>
      </c>
      <c r="AI32" s="6">
        <v>0</v>
      </c>
      <c r="AJ32" s="6">
        <v>0</v>
      </c>
      <c r="AK32" s="6">
        <v>0</v>
      </c>
      <c r="AL32" s="6"/>
      <c r="AM32" s="6">
        <v>0</v>
      </c>
      <c r="AN32" s="6"/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7">
        <f t="shared" si="3"/>
        <v>0</v>
      </c>
      <c r="AU32" s="8">
        <f t="shared" si="2"/>
        <v>0</v>
      </c>
      <c r="AW32" s="11"/>
    </row>
    <row r="33" spans="1:49" x14ac:dyDescent="0.2">
      <c r="A33" s="76" t="s">
        <v>102</v>
      </c>
      <c r="B33" s="6">
        <v>0</v>
      </c>
      <c r="C33" s="6">
        <v>0</v>
      </c>
      <c r="D33" s="6"/>
      <c r="E33" s="6">
        <v>0</v>
      </c>
      <c r="F33" s="6">
        <v>0</v>
      </c>
      <c r="G33" s="6">
        <v>0</v>
      </c>
      <c r="H33" s="6"/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/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/>
      <c r="X33" s="6"/>
      <c r="Y33" s="6"/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/>
      <c r="AH33" s="6">
        <v>0</v>
      </c>
      <c r="AI33" s="6">
        <v>0</v>
      </c>
      <c r="AJ33" s="6">
        <v>0</v>
      </c>
      <c r="AK33" s="6">
        <v>0</v>
      </c>
      <c r="AL33" s="6"/>
      <c r="AM33" s="6">
        <v>0</v>
      </c>
      <c r="AN33" s="6"/>
      <c r="AO33" s="6">
        <v>0</v>
      </c>
      <c r="AP33" s="6">
        <v>0</v>
      </c>
      <c r="AQ33" s="6">
        <v>0</v>
      </c>
      <c r="AR33" s="6">
        <v>0</v>
      </c>
      <c r="AS33" s="6">
        <v>15000</v>
      </c>
      <c r="AT33" s="7">
        <f t="shared" si="3"/>
        <v>15000</v>
      </c>
      <c r="AU33" s="8">
        <f t="shared" si="2"/>
        <v>5.1596461952177321E-3</v>
      </c>
      <c r="AW33" s="11"/>
    </row>
    <row r="34" spans="1:49" x14ac:dyDescent="0.2">
      <c r="A34" s="5" t="s">
        <v>57</v>
      </c>
      <c r="B34" s="6">
        <v>0</v>
      </c>
      <c r="C34" s="6">
        <v>0</v>
      </c>
      <c r="D34" s="6"/>
      <c r="E34" s="6">
        <v>0</v>
      </c>
      <c r="F34" s="6">
        <v>0</v>
      </c>
      <c r="G34" s="6">
        <v>0</v>
      </c>
      <c r="H34" s="6"/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/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/>
      <c r="X34" s="6"/>
      <c r="Y34" s="6"/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/>
      <c r="AH34" s="6">
        <v>0</v>
      </c>
      <c r="AI34" s="6">
        <v>145.69</v>
      </c>
      <c r="AJ34" s="6">
        <v>0</v>
      </c>
      <c r="AK34" s="6">
        <v>0</v>
      </c>
      <c r="AL34" s="6"/>
      <c r="AM34" s="6">
        <v>0</v>
      </c>
      <c r="AN34" s="6"/>
      <c r="AO34" s="6">
        <v>0</v>
      </c>
      <c r="AP34" s="6">
        <v>0</v>
      </c>
      <c r="AQ34" s="6">
        <v>0</v>
      </c>
      <c r="AR34" s="6">
        <v>145.69</v>
      </c>
      <c r="AS34" s="6">
        <v>18400</v>
      </c>
      <c r="AT34" s="7">
        <f t="shared" si="3"/>
        <v>18691.38</v>
      </c>
      <c r="AU34" s="8">
        <f t="shared" si="2"/>
        <v>6.4293938466912547E-3</v>
      </c>
      <c r="AW34" s="11"/>
    </row>
    <row r="35" spans="1:49" x14ac:dyDescent="0.2">
      <c r="A35" s="5" t="s">
        <v>58</v>
      </c>
      <c r="B35" s="6">
        <v>0</v>
      </c>
      <c r="C35" s="6">
        <v>0</v>
      </c>
      <c r="D35" s="6"/>
      <c r="E35" s="6">
        <v>0</v>
      </c>
      <c r="F35" s="6">
        <v>0</v>
      </c>
      <c r="G35" s="6">
        <v>0</v>
      </c>
      <c r="H35" s="6"/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/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/>
      <c r="X35" s="6"/>
      <c r="Y35" s="6"/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/>
      <c r="AH35" s="6">
        <v>0</v>
      </c>
      <c r="AI35" s="6">
        <v>0</v>
      </c>
      <c r="AJ35" s="6">
        <v>0</v>
      </c>
      <c r="AK35" s="6">
        <v>0</v>
      </c>
      <c r="AL35" s="6"/>
      <c r="AM35" s="6">
        <v>0</v>
      </c>
      <c r="AN35" s="6"/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7">
        <f t="shared" si="3"/>
        <v>0</v>
      </c>
      <c r="AU35" s="8">
        <f t="shared" si="2"/>
        <v>0</v>
      </c>
      <c r="AW35" s="11"/>
    </row>
    <row r="36" spans="1:49" x14ac:dyDescent="0.2">
      <c r="A36" s="5" t="s">
        <v>59</v>
      </c>
      <c r="B36" s="6">
        <v>0</v>
      </c>
      <c r="C36" s="6">
        <v>0</v>
      </c>
      <c r="D36" s="6"/>
      <c r="E36" s="6">
        <v>0</v>
      </c>
      <c r="F36" s="6">
        <v>0</v>
      </c>
      <c r="G36" s="6">
        <v>0</v>
      </c>
      <c r="H36" s="6"/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/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/>
      <c r="X36" s="6"/>
      <c r="Y36" s="6"/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/>
      <c r="AH36" s="6">
        <v>0</v>
      </c>
      <c r="AI36" s="6">
        <v>0</v>
      </c>
      <c r="AJ36" s="6">
        <v>0</v>
      </c>
      <c r="AK36" s="6">
        <v>0</v>
      </c>
      <c r="AL36" s="6"/>
      <c r="AM36" s="6">
        <v>0</v>
      </c>
      <c r="AN36" s="6"/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7">
        <f t="shared" si="3"/>
        <v>0</v>
      </c>
      <c r="AU36" s="8">
        <f t="shared" si="2"/>
        <v>0</v>
      </c>
      <c r="AW36" s="11"/>
    </row>
    <row r="37" spans="1:49" x14ac:dyDescent="0.2">
      <c r="A37" s="5" t="s">
        <v>60</v>
      </c>
      <c r="B37" s="6">
        <v>0</v>
      </c>
      <c r="C37" s="6">
        <v>0</v>
      </c>
      <c r="D37" s="6"/>
      <c r="E37" s="6">
        <v>0</v>
      </c>
      <c r="F37" s="6">
        <v>0</v>
      </c>
      <c r="G37" s="6">
        <v>0</v>
      </c>
      <c r="H37" s="6"/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/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/>
      <c r="X37" s="6"/>
      <c r="Y37" s="6"/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/>
      <c r="AH37" s="6">
        <v>0</v>
      </c>
      <c r="AI37" s="6">
        <v>0</v>
      </c>
      <c r="AJ37" s="6">
        <v>0</v>
      </c>
      <c r="AK37" s="6">
        <v>0</v>
      </c>
      <c r="AL37" s="6"/>
      <c r="AM37" s="6">
        <v>0</v>
      </c>
      <c r="AN37" s="6"/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7">
        <f t="shared" si="3"/>
        <v>0</v>
      </c>
      <c r="AU37" s="8">
        <f t="shared" si="2"/>
        <v>0</v>
      </c>
      <c r="AW37" s="11"/>
    </row>
    <row r="38" spans="1:49" x14ac:dyDescent="0.2">
      <c r="A38" s="5" t="s">
        <v>61</v>
      </c>
      <c r="B38" s="6">
        <v>0</v>
      </c>
      <c r="C38" s="6">
        <v>0</v>
      </c>
      <c r="D38" s="6"/>
      <c r="E38" s="6">
        <v>0</v>
      </c>
      <c r="F38" s="6">
        <v>0</v>
      </c>
      <c r="G38" s="6">
        <v>0</v>
      </c>
      <c r="H38" s="6"/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/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/>
      <c r="X38" s="6"/>
      <c r="Y38" s="6"/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/>
      <c r="AH38" s="6">
        <v>0</v>
      </c>
      <c r="AI38" s="6">
        <v>0</v>
      </c>
      <c r="AJ38" s="6">
        <v>0</v>
      </c>
      <c r="AK38" s="6">
        <v>0</v>
      </c>
      <c r="AL38" s="6"/>
      <c r="AM38" s="6">
        <v>0</v>
      </c>
      <c r="AN38" s="6"/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7">
        <f t="shared" si="3"/>
        <v>0</v>
      </c>
      <c r="AU38" s="8">
        <f t="shared" si="2"/>
        <v>0</v>
      </c>
      <c r="AW38" s="11"/>
    </row>
    <row r="39" spans="1:49" x14ac:dyDescent="0.2">
      <c r="A39" s="76" t="s">
        <v>105</v>
      </c>
      <c r="B39" s="6">
        <v>2540</v>
      </c>
      <c r="C39" s="6">
        <v>0</v>
      </c>
      <c r="D39" s="6"/>
      <c r="E39" s="6">
        <v>2958</v>
      </c>
      <c r="F39" s="6">
        <v>0</v>
      </c>
      <c r="G39" s="6">
        <v>0</v>
      </c>
      <c r="H39" s="6"/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/>
      <c r="P39" s="6">
        <v>0</v>
      </c>
      <c r="Q39" s="6">
        <v>0</v>
      </c>
      <c r="R39" s="6">
        <v>0</v>
      </c>
      <c r="S39" s="6">
        <v>1170</v>
      </c>
      <c r="T39" s="6">
        <v>0</v>
      </c>
      <c r="U39" s="6">
        <v>0</v>
      </c>
      <c r="V39" s="6">
        <v>0</v>
      </c>
      <c r="W39" s="6"/>
      <c r="X39" s="6"/>
      <c r="Y39" s="6"/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/>
      <c r="AH39" s="6">
        <v>1000</v>
      </c>
      <c r="AI39" s="6">
        <v>0</v>
      </c>
      <c r="AJ39" s="6">
        <v>0</v>
      </c>
      <c r="AK39" s="6">
        <v>0</v>
      </c>
      <c r="AL39" s="6"/>
      <c r="AM39" s="6">
        <v>0</v>
      </c>
      <c r="AN39" s="6"/>
      <c r="AO39" s="6">
        <v>0</v>
      </c>
      <c r="AP39" s="6">
        <v>0</v>
      </c>
      <c r="AQ39" s="6">
        <v>0</v>
      </c>
      <c r="AR39" s="6">
        <v>0</v>
      </c>
      <c r="AS39" s="6">
        <v>3200</v>
      </c>
      <c r="AT39" s="7">
        <f t="shared" si="3"/>
        <v>10868</v>
      </c>
      <c r="AU39" s="8">
        <f t="shared" si="2"/>
        <v>3.7383356566417542E-3</v>
      </c>
      <c r="AW39" s="11"/>
    </row>
    <row r="40" spans="1:49" x14ac:dyDescent="0.2">
      <c r="A40" s="5" t="s">
        <v>62</v>
      </c>
      <c r="B40" s="6">
        <v>0</v>
      </c>
      <c r="C40" s="6">
        <v>0</v>
      </c>
      <c r="D40" s="6"/>
      <c r="E40" s="6">
        <v>0</v>
      </c>
      <c r="F40" s="6">
        <v>0</v>
      </c>
      <c r="G40" s="6">
        <v>0</v>
      </c>
      <c r="H40" s="6"/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/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/>
      <c r="X40" s="6"/>
      <c r="Y40" s="6"/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/>
      <c r="AH40" s="6">
        <v>0</v>
      </c>
      <c r="AI40" s="6">
        <v>0</v>
      </c>
      <c r="AJ40" s="6">
        <v>0</v>
      </c>
      <c r="AK40" s="6">
        <v>0</v>
      </c>
      <c r="AL40" s="6"/>
      <c r="AM40" s="6">
        <v>0</v>
      </c>
      <c r="AN40" s="6"/>
      <c r="AO40" s="6">
        <v>0</v>
      </c>
      <c r="AP40" s="6">
        <v>0</v>
      </c>
      <c r="AQ40" s="6">
        <v>0</v>
      </c>
      <c r="AR40" s="6">
        <v>0</v>
      </c>
      <c r="AS40" s="6">
        <v>590000</v>
      </c>
      <c r="AT40" s="7">
        <f t="shared" si="3"/>
        <v>590000</v>
      </c>
      <c r="AU40" s="8">
        <f t="shared" si="2"/>
        <v>0.20294608367856415</v>
      </c>
      <c r="AV40" s="1" t="s">
        <v>68</v>
      </c>
      <c r="AW40" s="11"/>
    </row>
    <row r="41" spans="1:49" x14ac:dyDescent="0.2">
      <c r="A41" s="5" t="s">
        <v>63</v>
      </c>
      <c r="B41" s="6">
        <v>0</v>
      </c>
      <c r="C41" s="6">
        <v>0</v>
      </c>
      <c r="D41" s="6"/>
      <c r="E41" s="6">
        <v>0</v>
      </c>
      <c r="F41" s="6">
        <v>0</v>
      </c>
      <c r="G41" s="6">
        <v>0</v>
      </c>
      <c r="H41" s="6"/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/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/>
      <c r="X41" s="6"/>
      <c r="Y41" s="6"/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/>
      <c r="AH41" s="6">
        <v>0</v>
      </c>
      <c r="AI41" s="6">
        <v>0</v>
      </c>
      <c r="AJ41" s="6">
        <v>0</v>
      </c>
      <c r="AK41" s="6">
        <v>0</v>
      </c>
      <c r="AL41" s="6"/>
      <c r="AM41" s="6">
        <v>0</v>
      </c>
      <c r="AN41" s="6"/>
      <c r="AO41" s="6">
        <v>0</v>
      </c>
      <c r="AP41" s="6">
        <v>0</v>
      </c>
      <c r="AQ41" s="6">
        <v>0</v>
      </c>
      <c r="AR41" s="6">
        <v>0</v>
      </c>
      <c r="AS41" s="6">
        <v>983.3</v>
      </c>
      <c r="AT41" s="7">
        <f t="shared" si="3"/>
        <v>983.3</v>
      </c>
      <c r="AU41" s="8"/>
      <c r="AW41" s="11"/>
    </row>
    <row r="42" spans="1:49" x14ac:dyDescent="0.2">
      <c r="A42" s="5" t="str">
        <f>+'[2]Desglose de Ingresos y costos'!A42</f>
        <v>Artículos de limpieza</v>
      </c>
      <c r="B42" s="6">
        <v>63.450000000000017</v>
      </c>
      <c r="C42" s="6">
        <v>101.51</v>
      </c>
      <c r="D42" s="6"/>
      <c r="E42" s="6">
        <v>137.79000000000002</v>
      </c>
      <c r="F42" s="6">
        <v>0</v>
      </c>
      <c r="G42" s="6">
        <v>141.38000000000002</v>
      </c>
      <c r="H42" s="6"/>
      <c r="I42" s="6">
        <v>0</v>
      </c>
      <c r="J42" s="6">
        <v>63.450000000000017</v>
      </c>
      <c r="K42" s="6">
        <v>0</v>
      </c>
      <c r="L42" s="6">
        <v>101.32</v>
      </c>
      <c r="M42" s="6">
        <v>125.15</v>
      </c>
      <c r="N42" s="6">
        <v>0</v>
      </c>
      <c r="O42" s="6"/>
      <c r="P42" s="6">
        <v>0</v>
      </c>
      <c r="Q42" s="6">
        <v>151.65</v>
      </c>
      <c r="R42" s="6">
        <v>123.94999999999999</v>
      </c>
      <c r="S42" s="6">
        <v>127.00999999999999</v>
      </c>
      <c r="T42" s="6">
        <v>65.290000000000006</v>
      </c>
      <c r="U42" s="6">
        <v>0</v>
      </c>
      <c r="V42" s="6">
        <v>126.97999999999999</v>
      </c>
      <c r="W42" s="6"/>
      <c r="X42" s="6"/>
      <c r="Y42" s="6"/>
      <c r="Z42" s="6">
        <v>0</v>
      </c>
      <c r="AA42" s="6">
        <v>45.779999999999994</v>
      </c>
      <c r="AB42" s="6">
        <v>127.30000000000001</v>
      </c>
      <c r="AC42" s="6">
        <v>137.44999999999999</v>
      </c>
      <c r="AD42" s="6">
        <v>51.95</v>
      </c>
      <c r="AE42" s="6">
        <v>0</v>
      </c>
      <c r="AF42" s="6">
        <v>76.09</v>
      </c>
      <c r="AG42" s="6"/>
      <c r="AH42" s="6">
        <v>165.17</v>
      </c>
      <c r="AI42" s="6">
        <v>125.15000000000003</v>
      </c>
      <c r="AJ42" s="6">
        <v>0</v>
      </c>
      <c r="AK42" s="6">
        <v>111.16</v>
      </c>
      <c r="AL42" s="6"/>
      <c r="AM42" s="6">
        <v>0</v>
      </c>
      <c r="AN42" s="6"/>
      <c r="AO42" s="6">
        <v>63.449999999999989</v>
      </c>
      <c r="AP42" s="6">
        <v>73.19</v>
      </c>
      <c r="AQ42" s="6">
        <v>0</v>
      </c>
      <c r="AR42" s="6">
        <v>0</v>
      </c>
      <c r="AS42" s="6">
        <v>142.16</v>
      </c>
      <c r="AT42" s="7">
        <f t="shared" si="3"/>
        <v>2447.7799999999997</v>
      </c>
      <c r="AU42" s="8"/>
      <c r="AW42" s="11"/>
    </row>
    <row r="43" spans="1:49" x14ac:dyDescent="0.2">
      <c r="A43" s="5" t="s">
        <v>64</v>
      </c>
      <c r="B43" s="6">
        <v>0</v>
      </c>
      <c r="C43" s="6">
        <v>0</v>
      </c>
      <c r="D43" s="6"/>
      <c r="E43" s="6">
        <v>0</v>
      </c>
      <c r="F43" s="6">
        <v>0</v>
      </c>
      <c r="G43" s="6">
        <v>0</v>
      </c>
      <c r="H43" s="6"/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/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/>
      <c r="X43" s="6"/>
      <c r="Y43" s="6"/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/>
      <c r="AH43" s="6">
        <v>0</v>
      </c>
      <c r="AI43" s="6">
        <v>0</v>
      </c>
      <c r="AJ43" s="6">
        <v>0</v>
      </c>
      <c r="AK43" s="6">
        <v>0</v>
      </c>
      <c r="AL43" s="6"/>
      <c r="AM43" s="6">
        <v>0</v>
      </c>
      <c r="AN43" s="6"/>
      <c r="AO43" s="6">
        <v>0</v>
      </c>
      <c r="AP43" s="6">
        <v>0</v>
      </c>
      <c r="AQ43" s="6">
        <v>0</v>
      </c>
      <c r="AR43" s="6">
        <v>0</v>
      </c>
      <c r="AS43" s="6">
        <v>75776.36</v>
      </c>
      <c r="AT43" s="7">
        <f t="shared" si="3"/>
        <v>75776.36</v>
      </c>
      <c r="AU43" s="8">
        <f>AT43/$AT$45</f>
        <v>2.6065280504096611E-2</v>
      </c>
      <c r="AW43" s="11"/>
    </row>
    <row r="44" spans="1:49" x14ac:dyDescent="0.2">
      <c r="A44" s="5" t="s">
        <v>66</v>
      </c>
      <c r="B44" s="6">
        <v>65</v>
      </c>
      <c r="C44" s="6">
        <v>0</v>
      </c>
      <c r="D44" s="6"/>
      <c r="E44" s="6">
        <v>0</v>
      </c>
      <c r="F44" s="6">
        <v>0</v>
      </c>
      <c r="G44" s="6">
        <v>0</v>
      </c>
      <c r="H44" s="6"/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/>
      <c r="P44" s="6">
        <v>300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/>
      <c r="X44" s="6"/>
      <c r="Y44" s="6"/>
      <c r="Z44" s="6">
        <v>0</v>
      </c>
      <c r="AA44" s="6">
        <v>0</v>
      </c>
      <c r="AB44" s="6">
        <v>0</v>
      </c>
      <c r="AC44" s="6">
        <v>50</v>
      </c>
      <c r="AD44" s="6">
        <v>0</v>
      </c>
      <c r="AE44" s="6">
        <v>0</v>
      </c>
      <c r="AF44" s="6">
        <v>0</v>
      </c>
      <c r="AG44" s="6"/>
      <c r="AH44" s="6">
        <v>0</v>
      </c>
      <c r="AI44" s="6">
        <v>140</v>
      </c>
      <c r="AJ44" s="6">
        <v>0</v>
      </c>
      <c r="AK44" s="6">
        <v>0</v>
      </c>
      <c r="AL44" s="6"/>
      <c r="AM44" s="6">
        <v>321</v>
      </c>
      <c r="AN44" s="6"/>
      <c r="AO44" s="6">
        <v>0</v>
      </c>
      <c r="AP44" s="6">
        <v>300</v>
      </c>
      <c r="AQ44" s="6">
        <v>0</v>
      </c>
      <c r="AR44" s="6">
        <v>0</v>
      </c>
      <c r="AS44" s="6">
        <v>26492.2</v>
      </c>
      <c r="AT44" s="7">
        <f t="shared" si="3"/>
        <v>27668.2</v>
      </c>
      <c r="AU44" s="13">
        <f>AT44/$AT$45</f>
        <v>9.5172081905682184E-3</v>
      </c>
      <c r="AV44" s="11"/>
    </row>
    <row r="45" spans="1:49" ht="12.75" thickBot="1" x14ac:dyDescent="0.25">
      <c r="A45" s="9" t="s">
        <v>67</v>
      </c>
      <c r="B45" s="14">
        <f>SUM(B15:B44)</f>
        <v>150490.76999999996</v>
      </c>
      <c r="C45" s="14">
        <f t="shared" ref="C45:AT45" si="4">SUM(C15:C44)</f>
        <v>968.17000000000007</v>
      </c>
      <c r="D45" s="14">
        <f t="shared" si="4"/>
        <v>0</v>
      </c>
      <c r="E45" s="14">
        <f t="shared" si="4"/>
        <v>59596.180000000008</v>
      </c>
      <c r="F45" s="14">
        <f t="shared" si="4"/>
        <v>161173.75</v>
      </c>
      <c r="G45" s="14">
        <f t="shared" si="4"/>
        <v>39658.769999999997</v>
      </c>
      <c r="H45" s="14">
        <f t="shared" si="4"/>
        <v>0</v>
      </c>
      <c r="I45" s="14">
        <f t="shared" si="4"/>
        <v>243560.41</v>
      </c>
      <c r="J45" s="14">
        <f t="shared" si="4"/>
        <v>120459.93</v>
      </c>
      <c r="K45" s="14">
        <f t="shared" si="4"/>
        <v>11106.570000000002</v>
      </c>
      <c r="L45" s="14">
        <f t="shared" si="4"/>
        <v>51802.880000000005</v>
      </c>
      <c r="M45" s="14">
        <f t="shared" si="4"/>
        <v>26284.270000000004</v>
      </c>
      <c r="N45" s="14">
        <f t="shared" si="4"/>
        <v>567.24</v>
      </c>
      <c r="O45" s="14">
        <f t="shared" si="4"/>
        <v>0</v>
      </c>
      <c r="P45" s="14">
        <f t="shared" si="4"/>
        <v>49665.239999999991</v>
      </c>
      <c r="Q45" s="14">
        <f t="shared" si="4"/>
        <v>12263.689999999997</v>
      </c>
      <c r="R45" s="14">
        <f t="shared" si="4"/>
        <v>60902.779999999992</v>
      </c>
      <c r="S45" s="14">
        <f t="shared" si="4"/>
        <v>52452.05</v>
      </c>
      <c r="T45" s="14">
        <f t="shared" si="4"/>
        <v>30380.880000000001</v>
      </c>
      <c r="U45" s="14">
        <f t="shared" si="4"/>
        <v>22354.899999999998</v>
      </c>
      <c r="V45" s="14">
        <f t="shared" si="4"/>
        <v>43771.180000000008</v>
      </c>
      <c r="W45" s="14">
        <f t="shared" si="4"/>
        <v>0</v>
      </c>
      <c r="X45" s="14">
        <f t="shared" si="4"/>
        <v>0</v>
      </c>
      <c r="Y45" s="14">
        <f t="shared" si="4"/>
        <v>0</v>
      </c>
      <c r="Z45" s="14">
        <f t="shared" si="4"/>
        <v>23515.46</v>
      </c>
      <c r="AA45" s="14">
        <f t="shared" si="4"/>
        <v>17335.670000000002</v>
      </c>
      <c r="AB45" s="14">
        <f t="shared" si="4"/>
        <v>27123.62</v>
      </c>
      <c r="AC45" s="14">
        <f t="shared" si="4"/>
        <v>48177.68</v>
      </c>
      <c r="AD45" s="14">
        <f t="shared" si="4"/>
        <v>24116.760000000006</v>
      </c>
      <c r="AE45" s="14">
        <f t="shared" si="4"/>
        <v>12576.38</v>
      </c>
      <c r="AF45" s="14">
        <f t="shared" si="4"/>
        <v>53348.499999999993</v>
      </c>
      <c r="AG45" s="14">
        <f t="shared" si="4"/>
        <v>0</v>
      </c>
      <c r="AH45" s="14">
        <f t="shared" si="4"/>
        <v>118026.36</v>
      </c>
      <c r="AI45" s="14">
        <f t="shared" si="4"/>
        <v>14024.39</v>
      </c>
      <c r="AJ45" s="14">
        <f t="shared" si="4"/>
        <v>0</v>
      </c>
      <c r="AK45" s="14">
        <f t="shared" si="4"/>
        <v>38175.149999999994</v>
      </c>
      <c r="AL45" s="14">
        <f t="shared" si="4"/>
        <v>0</v>
      </c>
      <c r="AM45" s="14">
        <f t="shared" si="4"/>
        <v>35844.75</v>
      </c>
      <c r="AN45" s="14">
        <f t="shared" si="4"/>
        <v>0</v>
      </c>
      <c r="AO45" s="14">
        <f t="shared" si="4"/>
        <v>13517.030000000002</v>
      </c>
      <c r="AP45" s="14">
        <f t="shared" si="4"/>
        <v>142433.16</v>
      </c>
      <c r="AQ45" s="14">
        <f t="shared" si="4"/>
        <v>11110.539999999999</v>
      </c>
      <c r="AR45" s="14">
        <f t="shared" si="4"/>
        <v>2185.69</v>
      </c>
      <c r="AS45" s="14">
        <f t="shared" ref="AS45" si="5">SUM(AS15:AS44)</f>
        <v>1188205.28</v>
      </c>
      <c r="AT45" s="14">
        <f t="shared" si="4"/>
        <v>2907176.0799999996</v>
      </c>
      <c r="AU45" s="10">
        <f>SUM(AU15:AU44)</f>
        <v>0.99881978940883431</v>
      </c>
      <c r="AV45" s="11"/>
      <c r="AW45" s="32"/>
    </row>
    <row r="46" spans="1:49" ht="12.75" thickTop="1" x14ac:dyDescent="0.2">
      <c r="A46" s="5"/>
      <c r="B46" s="6"/>
      <c r="C46" s="6"/>
      <c r="D46" s="6" t="s">
        <v>68</v>
      </c>
      <c r="E46" s="6" t="s">
        <v>68</v>
      </c>
      <c r="F46" s="6" t="s">
        <v>68</v>
      </c>
      <c r="G46" s="6" t="s">
        <v>68</v>
      </c>
      <c r="H46" s="6" t="s">
        <v>68</v>
      </c>
      <c r="I46" s="6" t="s">
        <v>68</v>
      </c>
      <c r="J46" s="6" t="s">
        <v>68</v>
      </c>
      <c r="K46" s="6" t="s">
        <v>68</v>
      </c>
      <c r="L46" s="6" t="s">
        <v>68</v>
      </c>
      <c r="M46" s="6" t="s">
        <v>68</v>
      </c>
      <c r="N46" s="6" t="s">
        <v>68</v>
      </c>
      <c r="O46" s="6" t="s">
        <v>68</v>
      </c>
      <c r="P46" s="6" t="s">
        <v>68</v>
      </c>
      <c r="Q46" s="6" t="s">
        <v>68</v>
      </c>
      <c r="R46" s="6" t="s">
        <v>68</v>
      </c>
      <c r="S46" s="6" t="s">
        <v>68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7" t="s">
        <v>68</v>
      </c>
      <c r="AU46" s="5"/>
      <c r="AV46" s="11"/>
    </row>
    <row r="47" spans="1:49" ht="12.75" thickBot="1" x14ac:dyDescent="0.25">
      <c r="A47" s="9" t="s">
        <v>69</v>
      </c>
      <c r="B47" s="14">
        <f t="shared" ref="B47:Z47" si="6">+B13-B45</f>
        <v>162509.23000000004</v>
      </c>
      <c r="C47" s="14">
        <f t="shared" si="6"/>
        <v>104531.83</v>
      </c>
      <c r="D47" s="14">
        <f t="shared" si="6"/>
        <v>0</v>
      </c>
      <c r="E47" s="14">
        <f t="shared" si="6"/>
        <v>29053.819999999992</v>
      </c>
      <c r="F47" s="14">
        <f t="shared" si="6"/>
        <v>111726.25</v>
      </c>
      <c r="G47" s="14">
        <f>+G13-G45</f>
        <v>11284.830000000002</v>
      </c>
      <c r="H47" s="14">
        <f t="shared" si="6"/>
        <v>0</v>
      </c>
      <c r="I47" s="14">
        <f t="shared" si="6"/>
        <v>221339.59</v>
      </c>
      <c r="J47" s="14">
        <f t="shared" si="6"/>
        <v>69381.070000000007</v>
      </c>
      <c r="K47" s="14">
        <f t="shared" si="6"/>
        <v>7893.4299999999985</v>
      </c>
      <c r="L47" s="14">
        <f t="shared" si="6"/>
        <v>36497.11</v>
      </c>
      <c r="M47" s="14">
        <f t="shared" si="6"/>
        <v>51315.729999999996</v>
      </c>
      <c r="N47" s="14">
        <f t="shared" si="6"/>
        <v>15432.76</v>
      </c>
      <c r="O47" s="14">
        <f t="shared" si="6"/>
        <v>0</v>
      </c>
      <c r="P47" s="14">
        <f t="shared" si="6"/>
        <v>28584.760000000009</v>
      </c>
      <c r="Q47" s="14">
        <f t="shared" si="6"/>
        <v>11736.310000000003</v>
      </c>
      <c r="R47" s="14">
        <f t="shared" si="6"/>
        <v>36847.220000000008</v>
      </c>
      <c r="S47" s="14">
        <f t="shared" si="6"/>
        <v>26047.949999999997</v>
      </c>
      <c r="T47" s="14">
        <f t="shared" si="6"/>
        <v>25369.119999999999</v>
      </c>
      <c r="U47" s="14">
        <f t="shared" si="6"/>
        <v>33895.100000000006</v>
      </c>
      <c r="V47" s="14">
        <f t="shared" si="6"/>
        <v>14578.819999999992</v>
      </c>
      <c r="W47" s="14">
        <f t="shared" si="6"/>
        <v>0</v>
      </c>
      <c r="X47" s="14">
        <f t="shared" si="6"/>
        <v>0</v>
      </c>
      <c r="Y47" s="14">
        <f>+Y13-Y45</f>
        <v>0</v>
      </c>
      <c r="Z47" s="14">
        <f t="shared" si="6"/>
        <v>12484.54</v>
      </c>
      <c r="AA47" s="14">
        <f>+AA13-AA45</f>
        <v>20664.329999999998</v>
      </c>
      <c r="AB47" s="14">
        <f>+AB13-AB45</f>
        <v>9876.380000000001</v>
      </c>
      <c r="AC47" s="14">
        <f>+AC13-AC45</f>
        <v>38322.32</v>
      </c>
      <c r="AD47" s="14">
        <f>+AD13-AD45</f>
        <v>13883.239999999994</v>
      </c>
      <c r="AE47" s="14">
        <f t="shared" ref="AE47:AJ47" si="7">+AE13-AE45</f>
        <v>6923.6200000000008</v>
      </c>
      <c r="AF47" s="14">
        <f t="shared" si="7"/>
        <v>31151.500000000007</v>
      </c>
      <c r="AG47" s="14">
        <f t="shared" si="7"/>
        <v>0</v>
      </c>
      <c r="AH47" s="14">
        <f t="shared" si="7"/>
        <v>134473.64000000001</v>
      </c>
      <c r="AI47" s="14">
        <f t="shared" si="7"/>
        <v>41725.61</v>
      </c>
      <c r="AJ47" s="14">
        <f t="shared" si="7"/>
        <v>0</v>
      </c>
      <c r="AK47" s="14">
        <f>+AK13-AK45</f>
        <v>19824.850000000006</v>
      </c>
      <c r="AL47" s="14">
        <f>+AL13-AL45</f>
        <v>0</v>
      </c>
      <c r="AM47" s="14">
        <f t="shared" ref="AM47:AQ47" si="8">+AM13-AM45</f>
        <v>25655.25</v>
      </c>
      <c r="AN47" s="14">
        <f t="shared" si="8"/>
        <v>0</v>
      </c>
      <c r="AO47" s="14">
        <f t="shared" si="8"/>
        <v>4982.9699999999975</v>
      </c>
      <c r="AP47" s="14">
        <f t="shared" si="8"/>
        <v>84728.139999999985</v>
      </c>
      <c r="AQ47" s="14">
        <f t="shared" si="8"/>
        <v>7589.4600000000009</v>
      </c>
      <c r="AR47" s="14">
        <f>+AR13-AR45</f>
        <v>-2185.69</v>
      </c>
      <c r="AS47" s="14">
        <f>+AS13-AS45</f>
        <v>-1188205.28</v>
      </c>
      <c r="AT47" s="14">
        <f>SUM(B47:AS47)</f>
        <v>259919.81000000006</v>
      </c>
      <c r="AU47" s="15"/>
      <c r="AV47" s="11"/>
    </row>
    <row r="48" spans="1:49" ht="12.75" thickTop="1" x14ac:dyDescent="0.2">
      <c r="N48" s="1"/>
      <c r="O48" s="1"/>
      <c r="P48" s="1"/>
      <c r="Q48" s="1"/>
      <c r="R48" s="1"/>
      <c r="S48" s="1"/>
      <c r="T48" s="1"/>
      <c r="U48" s="1"/>
      <c r="AT48" s="3"/>
    </row>
    <row r="49" spans="1:55" s="2" customFormat="1" x14ac:dyDescent="0.2">
      <c r="A49" s="2" t="s">
        <v>70</v>
      </c>
      <c r="B49" s="2">
        <f>14400+30355+2500</f>
        <v>47255</v>
      </c>
      <c r="C49" s="2">
        <f>8400+24150</f>
        <v>32550</v>
      </c>
      <c r="E49" s="2">
        <v>4550</v>
      </c>
      <c r="F49" s="2">
        <f>1200+17225</f>
        <v>18425</v>
      </c>
      <c r="I49" s="2">
        <f>2700+47715</f>
        <v>50415</v>
      </c>
      <c r="J49" s="2">
        <f>8100+37808.5</f>
        <v>45908.5</v>
      </c>
      <c r="L49" s="2">
        <f>2700+11800</f>
        <v>14500</v>
      </c>
      <c r="M49" s="2">
        <f>300+9450</f>
        <v>9750</v>
      </c>
      <c r="N49" s="2">
        <v>3300</v>
      </c>
      <c r="P49" s="2">
        <f>600+3150+3850</f>
        <v>7600</v>
      </c>
      <c r="Q49" s="2">
        <v>2100</v>
      </c>
      <c r="R49" s="2">
        <v>3850</v>
      </c>
      <c r="S49" s="2">
        <f>600+10500</f>
        <v>11100</v>
      </c>
      <c r="T49" s="2">
        <f>600+9700</f>
        <v>10300</v>
      </c>
      <c r="U49" s="2">
        <f>600+9150</f>
        <v>9750</v>
      </c>
      <c r="V49" s="2">
        <f>700+1050</f>
        <v>1750</v>
      </c>
      <c r="Z49" s="2">
        <v>1400</v>
      </c>
      <c r="AA49" s="2">
        <f>2400+4060</f>
        <v>6460</v>
      </c>
      <c r="AB49" s="2">
        <v>4340</v>
      </c>
      <c r="AC49" s="2">
        <f>600+8050</f>
        <v>8650</v>
      </c>
      <c r="AD49" s="2">
        <v>750</v>
      </c>
      <c r="AF49" s="2">
        <f>4200+6155</f>
        <v>10355</v>
      </c>
      <c r="AH49" s="2">
        <f>20400+29205</f>
        <v>49605</v>
      </c>
      <c r="AI49" s="2">
        <f>8400+7350</f>
        <v>15750</v>
      </c>
      <c r="AK49" s="2">
        <f>300+5070</f>
        <v>5370</v>
      </c>
      <c r="AM49" s="2">
        <v>2650</v>
      </c>
      <c r="AO49" s="2">
        <v>250</v>
      </c>
      <c r="AP49" s="2">
        <f>9900+17200</f>
        <v>27100</v>
      </c>
      <c r="AQ49" s="2">
        <v>650</v>
      </c>
      <c r="AS49" s="2">
        <v>10925</v>
      </c>
      <c r="AT49" s="2">
        <f>SUM(B49:AS49)</f>
        <v>417358.5</v>
      </c>
    </row>
    <row r="50" spans="1:55" s="16" customFormat="1" x14ac:dyDescent="0.2">
      <c r="A50" s="16" t="s">
        <v>71</v>
      </c>
      <c r="B50" s="17">
        <f>+B47-B49</f>
        <v>115254.23000000004</v>
      </c>
      <c r="C50" s="17">
        <f t="shared" ref="C50:AS50" si="9">+C47-C49</f>
        <v>71981.83</v>
      </c>
      <c r="D50" s="17">
        <f t="shared" si="9"/>
        <v>0</v>
      </c>
      <c r="E50" s="17">
        <f t="shared" si="9"/>
        <v>24503.819999999992</v>
      </c>
      <c r="F50" s="17">
        <f t="shared" si="9"/>
        <v>93301.25</v>
      </c>
      <c r="G50" s="17">
        <f t="shared" si="9"/>
        <v>11284.830000000002</v>
      </c>
      <c r="H50" s="17">
        <f t="shared" si="9"/>
        <v>0</v>
      </c>
      <c r="I50" s="17">
        <f t="shared" si="9"/>
        <v>170924.59</v>
      </c>
      <c r="J50" s="17">
        <f t="shared" si="9"/>
        <v>23472.570000000007</v>
      </c>
      <c r="K50" s="17">
        <f t="shared" si="9"/>
        <v>7893.4299999999985</v>
      </c>
      <c r="L50" s="17">
        <f t="shared" si="9"/>
        <v>21997.11</v>
      </c>
      <c r="M50" s="17">
        <f t="shared" si="9"/>
        <v>41565.729999999996</v>
      </c>
      <c r="N50" s="17">
        <f t="shared" si="9"/>
        <v>12132.76</v>
      </c>
      <c r="O50" s="17">
        <f t="shared" si="9"/>
        <v>0</v>
      </c>
      <c r="P50" s="17">
        <f t="shared" si="9"/>
        <v>20984.760000000009</v>
      </c>
      <c r="Q50" s="17">
        <f t="shared" si="9"/>
        <v>9636.3100000000031</v>
      </c>
      <c r="R50" s="17">
        <f t="shared" si="9"/>
        <v>32997.220000000008</v>
      </c>
      <c r="S50" s="17">
        <f t="shared" si="9"/>
        <v>14947.949999999997</v>
      </c>
      <c r="T50" s="17">
        <f t="shared" si="9"/>
        <v>15069.119999999999</v>
      </c>
      <c r="U50" s="17">
        <f t="shared" si="9"/>
        <v>24145.100000000006</v>
      </c>
      <c r="V50" s="17">
        <f t="shared" si="9"/>
        <v>12828.819999999992</v>
      </c>
      <c r="W50" s="17">
        <f t="shared" si="9"/>
        <v>0</v>
      </c>
      <c r="X50" s="17">
        <f t="shared" si="9"/>
        <v>0</v>
      </c>
      <c r="Y50" s="17">
        <f t="shared" si="9"/>
        <v>0</v>
      </c>
      <c r="Z50" s="17">
        <f t="shared" si="9"/>
        <v>11084.54</v>
      </c>
      <c r="AA50" s="17">
        <f t="shared" si="9"/>
        <v>14204.329999999998</v>
      </c>
      <c r="AB50" s="17">
        <f t="shared" si="9"/>
        <v>5536.380000000001</v>
      </c>
      <c r="AC50" s="17">
        <f t="shared" si="9"/>
        <v>29672.32</v>
      </c>
      <c r="AD50" s="17">
        <f t="shared" si="9"/>
        <v>13133.239999999994</v>
      </c>
      <c r="AE50" s="17">
        <f t="shared" si="9"/>
        <v>6923.6200000000008</v>
      </c>
      <c r="AF50" s="17">
        <f t="shared" si="9"/>
        <v>20796.500000000007</v>
      </c>
      <c r="AG50" s="17">
        <f t="shared" si="9"/>
        <v>0</v>
      </c>
      <c r="AH50" s="17">
        <f t="shared" si="9"/>
        <v>84868.640000000014</v>
      </c>
      <c r="AI50" s="17">
        <f t="shared" si="9"/>
        <v>25975.61</v>
      </c>
      <c r="AJ50" s="17">
        <f t="shared" si="9"/>
        <v>0</v>
      </c>
      <c r="AK50" s="17">
        <f t="shared" si="9"/>
        <v>14454.850000000006</v>
      </c>
      <c r="AL50" s="17">
        <f t="shared" si="9"/>
        <v>0</v>
      </c>
      <c r="AM50" s="17">
        <f t="shared" si="9"/>
        <v>23005.25</v>
      </c>
      <c r="AN50" s="17">
        <f t="shared" si="9"/>
        <v>0</v>
      </c>
      <c r="AO50" s="17">
        <f t="shared" si="9"/>
        <v>4732.9699999999975</v>
      </c>
      <c r="AP50" s="17">
        <f t="shared" si="9"/>
        <v>57628.139999999985</v>
      </c>
      <c r="AQ50" s="17">
        <f t="shared" si="9"/>
        <v>6939.4600000000009</v>
      </c>
      <c r="AR50" s="17">
        <f t="shared" si="9"/>
        <v>-2185.69</v>
      </c>
      <c r="AS50" s="17">
        <f t="shared" si="9"/>
        <v>-1199130.28</v>
      </c>
      <c r="AT50" s="38">
        <f>SUM(B50:AS50)-AT53-AT54-AT55+AT56</f>
        <v>154986.69889999984</v>
      </c>
      <c r="AU50" s="2"/>
      <c r="AV50" s="2"/>
      <c r="AW50" s="2"/>
      <c r="AX50" s="2"/>
      <c r="AY50" s="2"/>
      <c r="AZ50" s="2"/>
      <c r="BA50" s="2"/>
      <c r="BB50" s="2"/>
      <c r="BC50" s="2"/>
    </row>
    <row r="51" spans="1:55" x14ac:dyDescent="0.2">
      <c r="N51" s="1"/>
      <c r="O51" s="1"/>
      <c r="P51" s="1"/>
      <c r="Q51" s="1"/>
      <c r="R51" s="1"/>
      <c r="S51" s="1"/>
      <c r="T51" s="1"/>
      <c r="U51" s="1"/>
      <c r="AT51" s="18">
        <v>154986.69</v>
      </c>
      <c r="AU51" s="3" t="s">
        <v>72</v>
      </c>
      <c r="AV51" s="1" t="s">
        <v>106</v>
      </c>
    </row>
    <row r="52" spans="1:55" s="2" customFormat="1" x14ac:dyDescent="0.2">
      <c r="AT52" s="47">
        <f>+AT50-AT51</f>
        <v>8.8999998406507075E-3</v>
      </c>
      <c r="AU52" s="48" t="s">
        <v>82</v>
      </c>
    </row>
    <row r="53" spans="1:55" s="2" customFormat="1" x14ac:dyDescent="0.2">
      <c r="A53" s="45" t="s">
        <v>78</v>
      </c>
      <c r="B53" s="45"/>
      <c r="C53" s="45"/>
      <c r="D53" s="45"/>
      <c r="E53" s="45">
        <f>+E50*8.5%</f>
        <v>2082.8246999999997</v>
      </c>
      <c r="F53" s="45"/>
      <c r="G53" s="45">
        <f>+G50*8.5%</f>
        <v>959.21055000000024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>
        <f>+V50*8.5%</f>
        <v>1090.4496999999994</v>
      </c>
      <c r="W53" s="45">
        <f>+W50*8.5%</f>
        <v>0</v>
      </c>
      <c r="X53" s="45"/>
      <c r="Y53" s="45">
        <f>+Y50*8.5%</f>
        <v>0</v>
      </c>
      <c r="Z53" s="45">
        <f>+Z50*8.5%</f>
        <v>942.18590000000017</v>
      </c>
      <c r="AA53" s="45">
        <f>+AA50*8.5%</f>
        <v>1207.36805</v>
      </c>
      <c r="AB53" s="45"/>
      <c r="AC53" s="45">
        <f>(AC50-AC54)*8.5%</f>
        <v>2309.6472000000003</v>
      </c>
      <c r="AD53" s="45"/>
      <c r="AE53" s="45"/>
      <c r="AF53" s="45"/>
      <c r="AG53" s="45">
        <f>+AG50*8.5%</f>
        <v>0</v>
      </c>
      <c r="AH53" s="45"/>
      <c r="AI53" s="45"/>
      <c r="AJ53" s="45">
        <f>+AJ50*8.5%</f>
        <v>0</v>
      </c>
      <c r="AK53" s="45"/>
      <c r="AL53" s="45">
        <f>+AL50*8.5%</f>
        <v>0</v>
      </c>
      <c r="AM53" s="45"/>
      <c r="AN53" s="45"/>
      <c r="AO53" s="45"/>
      <c r="AP53" s="45"/>
      <c r="AQ53" s="45"/>
      <c r="AR53" s="45"/>
      <c r="AS53" s="45"/>
      <c r="AT53" s="46">
        <f>SUM(B53:AS53)</f>
        <v>8591.686099999999</v>
      </c>
      <c r="AU53" s="23"/>
    </row>
    <row r="54" spans="1:55" s="2" customFormat="1" x14ac:dyDescent="0.2">
      <c r="A54" s="45" t="s">
        <v>84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>
        <v>2500</v>
      </c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>
        <v>16382.925000000001</v>
      </c>
      <c r="AT54" s="46">
        <f t="shared" ref="AT54:AT56" si="10">SUM(B54:AS54)</f>
        <v>18882.925000000003</v>
      </c>
      <c r="AU54" s="23"/>
    </row>
    <row r="55" spans="1:55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50">
        <f>234000+25000</f>
        <v>259000</v>
      </c>
      <c r="AT55" s="46">
        <f t="shared" si="10"/>
        <v>259000</v>
      </c>
    </row>
    <row r="56" spans="1:55" x14ac:dyDescent="0.2">
      <c r="A56" s="49" t="s">
        <v>86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>
        <v>598900</v>
      </c>
      <c r="AT56" s="46">
        <f t="shared" si="10"/>
        <v>598900</v>
      </c>
    </row>
    <row r="57" spans="1:55" x14ac:dyDescent="0.2">
      <c r="N57" s="1"/>
      <c r="O57" s="1"/>
      <c r="P57" s="1"/>
      <c r="Q57" s="1"/>
      <c r="R57" s="1"/>
      <c r="S57" s="1"/>
      <c r="T57" s="1"/>
      <c r="U57" s="1"/>
      <c r="AT57" s="3"/>
    </row>
    <row r="58" spans="1:55" ht="12.75" x14ac:dyDescent="0.2">
      <c r="A58" s="57" t="s">
        <v>92</v>
      </c>
      <c r="B58" s="57">
        <v>15</v>
      </c>
      <c r="C58" s="57">
        <v>6</v>
      </c>
      <c r="D58" s="57"/>
      <c r="E58" s="57">
        <v>5</v>
      </c>
      <c r="F58" s="57">
        <v>14</v>
      </c>
      <c r="G58" s="57">
        <v>3</v>
      </c>
      <c r="H58" s="57"/>
      <c r="I58" s="57">
        <v>24</v>
      </c>
      <c r="J58" s="57">
        <v>11</v>
      </c>
      <c r="K58" s="57">
        <v>1</v>
      </c>
      <c r="L58" s="57">
        <v>5</v>
      </c>
      <c r="M58" s="57">
        <v>3</v>
      </c>
      <c r="N58" s="57">
        <v>1</v>
      </c>
      <c r="O58" s="57"/>
      <c r="P58" s="57">
        <v>4</v>
      </c>
      <c r="Q58" s="57">
        <v>1</v>
      </c>
      <c r="R58" s="57">
        <v>5</v>
      </c>
      <c r="S58" s="57">
        <v>5</v>
      </c>
      <c r="T58" s="57">
        <v>3</v>
      </c>
      <c r="U58" s="57">
        <v>3</v>
      </c>
      <c r="V58" s="57">
        <v>3</v>
      </c>
      <c r="W58" s="57"/>
      <c r="X58" s="57"/>
      <c r="Y58" s="57"/>
      <c r="Z58" s="57">
        <v>2</v>
      </c>
      <c r="AA58" s="57">
        <v>2</v>
      </c>
      <c r="AB58" s="57">
        <v>2</v>
      </c>
      <c r="AC58" s="57">
        <v>5</v>
      </c>
      <c r="AD58" s="57">
        <v>2</v>
      </c>
      <c r="AE58" s="57">
        <v>1</v>
      </c>
      <c r="AF58" s="57">
        <v>5</v>
      </c>
      <c r="AG58" s="57"/>
      <c r="AH58" s="57">
        <v>13</v>
      </c>
      <c r="AI58" s="57">
        <v>3</v>
      </c>
      <c r="AJ58" s="57"/>
      <c r="AK58" s="57">
        <v>3</v>
      </c>
      <c r="AL58" s="57"/>
      <c r="AM58" s="57">
        <v>3</v>
      </c>
      <c r="AN58" s="57"/>
      <c r="AO58" s="57">
        <v>1</v>
      </c>
      <c r="AP58" s="57">
        <v>12</v>
      </c>
      <c r="AQ58" s="57">
        <v>1</v>
      </c>
      <c r="AR58" s="65">
        <f>SUM(A58:AQ58)</f>
        <v>167</v>
      </c>
      <c r="AS58" s="66" t="s">
        <v>103</v>
      </c>
      <c r="AT58" s="3"/>
    </row>
    <row r="59" spans="1:55" x14ac:dyDescent="0.2">
      <c r="A59" s="57" t="s">
        <v>91</v>
      </c>
      <c r="B59" s="58">
        <f>+B50/B58</f>
        <v>7683.6153333333359</v>
      </c>
      <c r="C59" s="58">
        <f t="shared" ref="C59:AQ59" si="11">+C50/C58</f>
        <v>11996.971666666666</v>
      </c>
      <c r="D59" s="58"/>
      <c r="E59" s="58">
        <f t="shared" si="11"/>
        <v>4900.7639999999983</v>
      </c>
      <c r="F59" s="58">
        <f t="shared" si="11"/>
        <v>6664.375</v>
      </c>
      <c r="G59" s="58">
        <f t="shared" si="11"/>
        <v>3761.6100000000006</v>
      </c>
      <c r="H59" s="58"/>
      <c r="I59" s="58">
        <f t="shared" si="11"/>
        <v>7121.8579166666668</v>
      </c>
      <c r="J59" s="58">
        <f t="shared" si="11"/>
        <v>2133.8700000000008</v>
      </c>
      <c r="K59" s="58">
        <f t="shared" si="11"/>
        <v>7893.4299999999985</v>
      </c>
      <c r="L59" s="58">
        <f t="shared" si="11"/>
        <v>4399.4220000000005</v>
      </c>
      <c r="M59" s="58">
        <f>(M50-M9)/M58</f>
        <v>6655.243333333332</v>
      </c>
      <c r="N59" s="58">
        <f t="shared" si="11"/>
        <v>12132.76</v>
      </c>
      <c r="O59" s="58"/>
      <c r="P59" s="58">
        <f t="shared" si="11"/>
        <v>5246.1900000000023</v>
      </c>
      <c r="Q59" s="58">
        <f t="shared" si="11"/>
        <v>9636.3100000000031</v>
      </c>
      <c r="R59" s="58">
        <f t="shared" si="11"/>
        <v>6599.4440000000013</v>
      </c>
      <c r="S59" s="58">
        <f t="shared" si="11"/>
        <v>2989.5899999999992</v>
      </c>
      <c r="T59" s="58">
        <f t="shared" si="11"/>
        <v>5023.04</v>
      </c>
      <c r="U59" s="58">
        <f t="shared" si="11"/>
        <v>8048.3666666666686</v>
      </c>
      <c r="V59" s="58">
        <f t="shared" si="11"/>
        <v>4276.2733333333308</v>
      </c>
      <c r="W59" s="58"/>
      <c r="X59" s="58"/>
      <c r="Y59" s="58"/>
      <c r="Z59" s="58">
        <f t="shared" si="11"/>
        <v>5542.27</v>
      </c>
      <c r="AA59" s="58">
        <f t="shared" si="11"/>
        <v>7102.1649999999991</v>
      </c>
      <c r="AB59" s="58">
        <f t="shared" si="11"/>
        <v>2768.1900000000005</v>
      </c>
      <c r="AC59" s="58">
        <f>(AC50-AC54)/AC58</f>
        <v>5434.4639999999999</v>
      </c>
      <c r="AD59" s="58">
        <f t="shared" si="11"/>
        <v>6566.6199999999972</v>
      </c>
      <c r="AE59" s="58">
        <f t="shared" si="11"/>
        <v>6923.6200000000008</v>
      </c>
      <c r="AF59" s="58">
        <f t="shared" si="11"/>
        <v>4159.3000000000011</v>
      </c>
      <c r="AG59" s="58"/>
      <c r="AH59" s="58">
        <f t="shared" si="11"/>
        <v>6528.3569230769244</v>
      </c>
      <c r="AI59" s="58">
        <f t="shared" si="11"/>
        <v>8658.5366666666669</v>
      </c>
      <c r="AJ59" s="58"/>
      <c r="AK59" s="58">
        <f t="shared" si="11"/>
        <v>4818.2833333333356</v>
      </c>
      <c r="AL59" s="58"/>
      <c r="AM59" s="58">
        <f t="shared" si="11"/>
        <v>7668.416666666667</v>
      </c>
      <c r="AN59" s="58"/>
      <c r="AO59" s="58">
        <f t="shared" si="11"/>
        <v>4732.9699999999975</v>
      </c>
      <c r="AP59" s="58">
        <f t="shared" si="11"/>
        <v>4802.3449999999984</v>
      </c>
      <c r="AQ59" s="58">
        <f t="shared" si="11"/>
        <v>6939.4600000000009</v>
      </c>
    </row>
  </sheetData>
  <mergeCells count="5">
    <mergeCell ref="A2:AU2"/>
    <mergeCell ref="A3:AU3"/>
    <mergeCell ref="A4:AU4"/>
    <mergeCell ref="B7:AU7"/>
    <mergeCell ref="A14:AU14"/>
  </mergeCells>
  <pageMargins left="0.7" right="0.7" top="0.75" bottom="0.75" header="0.3" footer="0.3"/>
  <pageSetup scale="97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7B2D-27C3-475E-BA83-A8396DEF529E}">
  <sheetPr>
    <tabColor rgb="FF7030A0"/>
  </sheetPr>
  <dimension ref="A6:AW62"/>
  <sheetViews>
    <sheetView zoomScaleNormal="100" workbookViewId="0">
      <pane xSplit="1" ySplit="7" topLeftCell="AH41" activePane="bottomRight" state="frozen"/>
      <selection pane="topRight"/>
      <selection pane="bottomLeft"/>
      <selection pane="bottomRight" activeCell="AN6" sqref="AN6"/>
    </sheetView>
  </sheetViews>
  <sheetFormatPr baseColWidth="10" defaultColWidth="11.42578125" defaultRowHeight="12" x14ac:dyDescent="0.2"/>
  <cols>
    <col min="1" max="1" width="18.28515625" style="1" customWidth="1"/>
    <col min="2" max="7" width="11.42578125" style="1"/>
    <col min="8" max="8" width="11.42578125" style="1" customWidth="1"/>
    <col min="9" max="14" width="11.42578125" style="1"/>
    <col min="15" max="15" width="11.42578125" style="1" hidden="1" customWidth="1"/>
    <col min="16" max="22" width="11.42578125" style="1"/>
    <col min="23" max="25" width="11.42578125" style="1" hidden="1" customWidth="1"/>
    <col min="26" max="32" width="11.42578125" style="1"/>
    <col min="33" max="33" width="11.42578125" style="1" hidden="1" customWidth="1"/>
    <col min="34" max="35" width="11.42578125" style="1"/>
    <col min="36" max="36" width="0" style="1" hidden="1" customWidth="1"/>
    <col min="37" max="37" width="11.42578125" style="1"/>
    <col min="38" max="38" width="13.85546875" style="1" hidden="1" customWidth="1"/>
    <col min="39" max="43" width="13.85546875" style="1" customWidth="1"/>
    <col min="44" max="44" width="11.42578125" style="1"/>
    <col min="45" max="45" width="12.85546875" style="1" customWidth="1"/>
    <col min="46" max="46" width="12.42578125" style="28" bestFit="1" customWidth="1"/>
    <col min="47" max="16384" width="11.42578125" style="1"/>
  </cols>
  <sheetData>
    <row r="6" spans="1:49" ht="36" x14ac:dyDescent="0.2">
      <c r="A6" s="20" t="s">
        <v>1</v>
      </c>
      <c r="B6" s="19" t="s">
        <v>2</v>
      </c>
      <c r="C6" s="19" t="s">
        <v>3</v>
      </c>
      <c r="D6" s="63" t="s">
        <v>97</v>
      </c>
      <c r="E6" s="19" t="s">
        <v>4</v>
      </c>
      <c r="F6" s="19" t="s">
        <v>5</v>
      </c>
      <c r="G6" s="19" t="s">
        <v>6</v>
      </c>
      <c r="H6" s="35" t="s">
        <v>104</v>
      </c>
      <c r="I6" s="19" t="s">
        <v>74</v>
      </c>
      <c r="J6" s="19" t="s">
        <v>7</v>
      </c>
      <c r="K6" s="19" t="s">
        <v>8</v>
      </c>
      <c r="L6" s="19" t="s">
        <v>9</v>
      </c>
      <c r="M6" s="19" t="s">
        <v>10</v>
      </c>
      <c r="N6" s="19" t="s">
        <v>11</v>
      </c>
      <c r="O6" s="19"/>
      <c r="P6" s="19" t="s">
        <v>13</v>
      </c>
      <c r="Q6" s="19" t="s">
        <v>14</v>
      </c>
      <c r="R6" s="19" t="s">
        <v>15</v>
      </c>
      <c r="S6" s="19" t="s">
        <v>16</v>
      </c>
      <c r="T6" s="19" t="s">
        <v>17</v>
      </c>
      <c r="U6" s="19" t="s">
        <v>18</v>
      </c>
      <c r="V6" s="19" t="s">
        <v>19</v>
      </c>
      <c r="W6" s="19"/>
      <c r="X6" s="19"/>
      <c r="Y6" s="19"/>
      <c r="Z6" s="19" t="s">
        <v>23</v>
      </c>
      <c r="AA6" s="19" t="s">
        <v>24</v>
      </c>
      <c r="AB6" s="19" t="s">
        <v>25</v>
      </c>
      <c r="AC6" s="19" t="s">
        <v>26</v>
      </c>
      <c r="AD6" s="19" t="s">
        <v>27</v>
      </c>
      <c r="AE6" s="19" t="s">
        <v>28</v>
      </c>
      <c r="AF6" s="19" t="s">
        <v>29</v>
      </c>
      <c r="AG6" s="62"/>
      <c r="AH6" s="62" t="s">
        <v>30</v>
      </c>
      <c r="AI6" s="62" t="s">
        <v>31</v>
      </c>
      <c r="AJ6" s="62" t="s">
        <v>32</v>
      </c>
      <c r="AK6" s="62" t="s">
        <v>98</v>
      </c>
      <c r="AL6" s="62"/>
      <c r="AM6" s="36" t="s">
        <v>83</v>
      </c>
      <c r="AN6" s="73" t="s">
        <v>107</v>
      </c>
      <c r="AO6" s="73" t="s">
        <v>99</v>
      </c>
      <c r="AP6" s="73" t="s">
        <v>100</v>
      </c>
      <c r="AQ6" s="36" t="s">
        <v>101</v>
      </c>
      <c r="AR6" s="19" t="s">
        <v>77</v>
      </c>
      <c r="AS6" s="19" t="s">
        <v>88</v>
      </c>
      <c r="AT6" s="21" t="s">
        <v>33</v>
      </c>
      <c r="AU6" s="22" t="s">
        <v>34</v>
      </c>
    </row>
    <row r="8" spans="1:49" x14ac:dyDescent="0.2">
      <c r="A8" s="1" t="s">
        <v>36</v>
      </c>
      <c r="B8" s="2">
        <v>313000</v>
      </c>
      <c r="C8" s="2">
        <v>105500</v>
      </c>
      <c r="D8" s="25">
        <v>56750</v>
      </c>
      <c r="E8" s="2">
        <v>88650</v>
      </c>
      <c r="F8" s="2">
        <v>272900</v>
      </c>
      <c r="G8" s="2">
        <v>50943.6</v>
      </c>
      <c r="H8" s="25"/>
      <c r="I8" s="2">
        <v>464900</v>
      </c>
      <c r="J8" s="2">
        <v>190108.38</v>
      </c>
      <c r="K8" s="2">
        <v>19000</v>
      </c>
      <c r="L8" s="2">
        <v>88299.989999999962</v>
      </c>
      <c r="M8" s="6">
        <v>53600</v>
      </c>
      <c r="N8" s="2">
        <v>0</v>
      </c>
      <c r="O8" s="2"/>
      <c r="P8" s="2">
        <v>78250</v>
      </c>
      <c r="Q8" s="2">
        <v>24000</v>
      </c>
      <c r="R8" s="2">
        <v>97750</v>
      </c>
      <c r="S8" s="2">
        <v>98250</v>
      </c>
      <c r="T8" s="2">
        <v>55750</v>
      </c>
      <c r="U8" s="2">
        <v>56250</v>
      </c>
      <c r="V8" s="2">
        <v>54000</v>
      </c>
      <c r="W8" s="2"/>
      <c r="X8" s="2"/>
      <c r="Y8" s="2"/>
      <c r="Z8" s="2">
        <v>36000</v>
      </c>
      <c r="AA8" s="2">
        <v>38000</v>
      </c>
      <c r="AB8" s="2">
        <v>8354.8500000000058</v>
      </c>
      <c r="AC8" s="2">
        <v>86500</v>
      </c>
      <c r="AD8" s="2">
        <v>38000</v>
      </c>
      <c r="AE8" s="2">
        <v>19500</v>
      </c>
      <c r="AF8" s="2">
        <v>84500</v>
      </c>
      <c r="AG8" s="2"/>
      <c r="AH8" s="2">
        <v>252500</v>
      </c>
      <c r="AI8" s="2">
        <v>55750</v>
      </c>
      <c r="AJ8" s="2"/>
      <c r="AK8" s="2">
        <v>57200</v>
      </c>
      <c r="AL8" s="2"/>
      <c r="AM8" s="2">
        <v>61500</v>
      </c>
      <c r="AN8" s="2"/>
      <c r="AO8" s="2">
        <v>18500</v>
      </c>
      <c r="AP8" s="2">
        <v>230600.00000000006</v>
      </c>
      <c r="AQ8" s="2">
        <v>18700</v>
      </c>
      <c r="AR8" s="2"/>
      <c r="AS8" s="2"/>
      <c r="AT8" s="29">
        <f>SUM(B8:AS8)</f>
        <v>3173506.82</v>
      </c>
      <c r="AU8" s="8">
        <f>AT8/$AT$13</f>
        <v>0.99323966264138863</v>
      </c>
      <c r="AW8" s="32"/>
    </row>
    <row r="9" spans="1:49" x14ac:dyDescent="0.2">
      <c r="A9" s="2" t="s">
        <v>94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6">
        <v>21600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9">
        <f>SUM(B9:AS9)</f>
        <v>21600</v>
      </c>
      <c r="AU9" s="8">
        <f>AT9/$AT$13</f>
        <v>6.7603373586113784E-3</v>
      </c>
    </row>
    <row r="10" spans="1:49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9">
        <f>SUM(B10:AS10)</f>
        <v>0</v>
      </c>
      <c r="AU10" s="8">
        <f>AT10/$AT$13</f>
        <v>0</v>
      </c>
    </row>
    <row r="11" spans="1:49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9">
        <f>SUM(B11:AS11)</f>
        <v>0</v>
      </c>
      <c r="AU11" s="8">
        <f>AT11/$AT$13</f>
        <v>0</v>
      </c>
      <c r="AV11" s="23"/>
    </row>
    <row r="12" spans="1:49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9">
        <f>SUM(B12:AS12)</f>
        <v>0</v>
      </c>
      <c r="AU12" s="8">
        <f>AT12/$AT$13</f>
        <v>0</v>
      </c>
      <c r="AV12" s="23"/>
    </row>
    <row r="13" spans="1:49" ht="12.75" thickBot="1" x14ac:dyDescent="0.25">
      <c r="A13" s="9" t="s">
        <v>37</v>
      </c>
      <c r="B13" s="14">
        <f>SUM(B8:B12)</f>
        <v>313000</v>
      </c>
      <c r="C13" s="14">
        <f t="shared" ref="C13:AS13" si="0">SUM(C8:C12)</f>
        <v>105500</v>
      </c>
      <c r="D13" s="14">
        <f t="shared" si="0"/>
        <v>56750</v>
      </c>
      <c r="E13" s="14">
        <f t="shared" si="0"/>
        <v>88650</v>
      </c>
      <c r="F13" s="14">
        <f t="shared" si="0"/>
        <v>272900</v>
      </c>
      <c r="G13" s="14">
        <f t="shared" si="0"/>
        <v>50943.6</v>
      </c>
      <c r="H13" s="14">
        <f t="shared" si="0"/>
        <v>0</v>
      </c>
      <c r="I13" s="14">
        <f t="shared" si="0"/>
        <v>464900</v>
      </c>
      <c r="J13" s="14">
        <f t="shared" si="0"/>
        <v>190108.38</v>
      </c>
      <c r="K13" s="14">
        <f t="shared" si="0"/>
        <v>19000</v>
      </c>
      <c r="L13" s="14">
        <f t="shared" si="0"/>
        <v>88299.989999999962</v>
      </c>
      <c r="M13" s="14">
        <f t="shared" si="0"/>
        <v>75200</v>
      </c>
      <c r="N13" s="14">
        <f t="shared" si="0"/>
        <v>0</v>
      </c>
      <c r="O13" s="14">
        <f t="shared" si="0"/>
        <v>0</v>
      </c>
      <c r="P13" s="14">
        <f t="shared" si="0"/>
        <v>78250</v>
      </c>
      <c r="Q13" s="14">
        <f t="shared" si="0"/>
        <v>24000</v>
      </c>
      <c r="R13" s="14">
        <f t="shared" si="0"/>
        <v>97750</v>
      </c>
      <c r="S13" s="14">
        <f t="shared" si="0"/>
        <v>98250</v>
      </c>
      <c r="T13" s="14">
        <f t="shared" si="0"/>
        <v>55750</v>
      </c>
      <c r="U13" s="14">
        <f t="shared" si="0"/>
        <v>56250</v>
      </c>
      <c r="V13" s="14">
        <f t="shared" si="0"/>
        <v>54000</v>
      </c>
      <c r="W13" s="14">
        <f t="shared" si="0"/>
        <v>0</v>
      </c>
      <c r="X13" s="14">
        <f t="shared" si="0"/>
        <v>0</v>
      </c>
      <c r="Y13" s="14">
        <f t="shared" si="0"/>
        <v>0</v>
      </c>
      <c r="Z13" s="14">
        <f t="shared" si="0"/>
        <v>36000</v>
      </c>
      <c r="AA13" s="14">
        <f t="shared" si="0"/>
        <v>38000</v>
      </c>
      <c r="AB13" s="14">
        <f t="shared" si="0"/>
        <v>8354.8500000000058</v>
      </c>
      <c r="AC13" s="14">
        <f t="shared" si="0"/>
        <v>86500</v>
      </c>
      <c r="AD13" s="14">
        <f t="shared" si="0"/>
        <v>38000</v>
      </c>
      <c r="AE13" s="14">
        <f t="shared" si="0"/>
        <v>19500</v>
      </c>
      <c r="AF13" s="14">
        <f t="shared" si="0"/>
        <v>84500</v>
      </c>
      <c r="AG13" s="14">
        <f t="shared" si="0"/>
        <v>0</v>
      </c>
      <c r="AH13" s="14">
        <f t="shared" si="0"/>
        <v>252500</v>
      </c>
      <c r="AI13" s="14">
        <f t="shared" si="0"/>
        <v>55750</v>
      </c>
      <c r="AJ13" s="14">
        <f t="shared" si="0"/>
        <v>0</v>
      </c>
      <c r="AK13" s="14">
        <f t="shared" si="0"/>
        <v>57200</v>
      </c>
      <c r="AL13" s="14">
        <f t="shared" si="0"/>
        <v>0</v>
      </c>
      <c r="AM13" s="14">
        <f t="shared" si="0"/>
        <v>61500</v>
      </c>
      <c r="AN13" s="14">
        <f t="shared" si="0"/>
        <v>0</v>
      </c>
      <c r="AO13" s="14">
        <f t="shared" si="0"/>
        <v>18500</v>
      </c>
      <c r="AP13" s="14">
        <f t="shared" si="0"/>
        <v>230600.00000000006</v>
      </c>
      <c r="AQ13" s="14">
        <f t="shared" si="0"/>
        <v>18700</v>
      </c>
      <c r="AR13" s="14">
        <f t="shared" si="0"/>
        <v>0</v>
      </c>
      <c r="AS13" s="14">
        <f t="shared" si="0"/>
        <v>0</v>
      </c>
      <c r="AT13" s="14">
        <f>SUM(AT8:AT12)</f>
        <v>3195106.82</v>
      </c>
      <c r="AU13" s="10">
        <f>SUM(AU8:AU12)</f>
        <v>1</v>
      </c>
      <c r="AV13" s="11"/>
    </row>
    <row r="14" spans="1:49" ht="12.75" thickTop="1" x14ac:dyDescent="0.2"/>
    <row r="15" spans="1:49" x14ac:dyDescent="0.2">
      <c r="A15" s="1" t="s">
        <v>39</v>
      </c>
      <c r="B15" s="25">
        <v>120111.06</v>
      </c>
      <c r="C15" s="25">
        <v>0</v>
      </c>
      <c r="D15" s="25">
        <v>29572.32</v>
      </c>
      <c r="E15" s="25">
        <v>46868.56</v>
      </c>
      <c r="F15" s="25">
        <v>122229.24999999997</v>
      </c>
      <c r="G15" s="25">
        <v>30426.319999999992</v>
      </c>
      <c r="H15" s="25"/>
      <c r="I15" s="25">
        <v>187450.2</v>
      </c>
      <c r="J15" s="25">
        <v>83274.400000000023</v>
      </c>
      <c r="K15" s="25">
        <v>8535</v>
      </c>
      <c r="L15" s="25">
        <v>38099.319999999992</v>
      </c>
      <c r="M15" s="25">
        <v>19797.840000000004</v>
      </c>
      <c r="N15" s="25">
        <v>0</v>
      </c>
      <c r="O15" s="25"/>
      <c r="P15" s="25">
        <v>25396.600000000006</v>
      </c>
      <c r="Q15" s="25">
        <v>9435</v>
      </c>
      <c r="R15" s="25">
        <v>42506.700000000012</v>
      </c>
      <c r="S15" s="25">
        <v>36643.320000000007</v>
      </c>
      <c r="T15" s="25">
        <v>11858.840000000004</v>
      </c>
      <c r="U15" s="25">
        <v>25997.86</v>
      </c>
      <c r="V15" s="25">
        <v>21381.78</v>
      </c>
      <c r="W15" s="25"/>
      <c r="X15" s="25"/>
      <c r="Y15" s="25"/>
      <c r="Z15" s="25">
        <v>17838</v>
      </c>
      <c r="AA15" s="25">
        <v>8818.9999999999927</v>
      </c>
      <c r="AB15" s="25">
        <v>13427.39</v>
      </c>
      <c r="AC15" s="25">
        <v>40880.44</v>
      </c>
      <c r="AD15" s="25">
        <v>18568.18</v>
      </c>
      <c r="AE15" s="25">
        <v>8805</v>
      </c>
      <c r="AF15" s="25">
        <v>39787.300000000003</v>
      </c>
      <c r="AG15" s="25"/>
      <c r="AH15" s="25">
        <v>111197.39000000001</v>
      </c>
      <c r="AI15" s="25">
        <v>11731.330000000002</v>
      </c>
      <c r="AJ15" s="25"/>
      <c r="AK15" s="25">
        <v>29302.880000000005</v>
      </c>
      <c r="AL15" s="25"/>
      <c r="AM15" s="25">
        <v>25576</v>
      </c>
      <c r="AN15" s="25"/>
      <c r="AO15" s="25">
        <v>9085</v>
      </c>
      <c r="AP15" s="25">
        <v>89574.930000000022</v>
      </c>
      <c r="AQ15" s="25">
        <v>8245</v>
      </c>
      <c r="AR15" s="25"/>
      <c r="AS15" s="26">
        <v>311883.68</v>
      </c>
      <c r="AT15" s="30">
        <f>SUM(B15:AS15)</f>
        <v>1604305.8900000001</v>
      </c>
      <c r="AU15" s="8">
        <f t="shared" ref="AU15:AU44" si="1">AT15/$AT$45</f>
        <v>0.56251083762051235</v>
      </c>
      <c r="AV15" s="1" t="s">
        <v>68</v>
      </c>
    </row>
    <row r="16" spans="1:49" x14ac:dyDescent="0.2">
      <c r="A16" s="1" t="s">
        <v>40</v>
      </c>
      <c r="B16" s="25">
        <v>16345.360000000004</v>
      </c>
      <c r="C16" s="25">
        <v>0</v>
      </c>
      <c r="D16" s="25">
        <v>3682.71</v>
      </c>
      <c r="E16" s="25">
        <v>6417.41</v>
      </c>
      <c r="F16" s="25">
        <v>17693.710000000003</v>
      </c>
      <c r="G16" s="25">
        <v>3853.3799999999992</v>
      </c>
      <c r="H16" s="25"/>
      <c r="I16" s="25">
        <v>26462.350000000006</v>
      </c>
      <c r="J16" s="25">
        <v>12391.560000000001</v>
      </c>
      <c r="K16" s="25">
        <v>1282.7399999999998</v>
      </c>
      <c r="L16" s="25">
        <v>5132.4399999999987</v>
      </c>
      <c r="M16" s="25">
        <v>2625.4200000000005</v>
      </c>
      <c r="N16" s="25">
        <v>0</v>
      </c>
      <c r="O16" s="25"/>
      <c r="P16" s="25">
        <v>3521.62</v>
      </c>
      <c r="Q16" s="25">
        <v>1283.47</v>
      </c>
      <c r="R16" s="25">
        <v>6478.3100000000013</v>
      </c>
      <c r="S16" s="25">
        <v>5878.2100000000009</v>
      </c>
      <c r="T16" s="25">
        <v>1338.7399999999998</v>
      </c>
      <c r="U16" s="25">
        <v>3850.45</v>
      </c>
      <c r="V16" s="25">
        <v>3021.2000000000007</v>
      </c>
      <c r="W16" s="25"/>
      <c r="X16" s="25"/>
      <c r="Y16" s="25"/>
      <c r="Z16" s="25">
        <v>2568.4299999999998</v>
      </c>
      <c r="AA16" s="25">
        <v>1283.4699999999998</v>
      </c>
      <c r="AB16" s="25">
        <v>635.66000000000031</v>
      </c>
      <c r="AC16" s="25">
        <v>6428.5</v>
      </c>
      <c r="AD16" s="25">
        <v>2569.9100000000003</v>
      </c>
      <c r="AE16" s="25">
        <v>1284.2200000000003</v>
      </c>
      <c r="AF16" s="25">
        <v>5798.92</v>
      </c>
      <c r="AG16" s="25"/>
      <c r="AH16" s="25">
        <v>13894.43</v>
      </c>
      <c r="AI16" s="25">
        <v>1739.3900000000003</v>
      </c>
      <c r="AJ16" s="25"/>
      <c r="AK16" s="25">
        <v>3885.5899999999997</v>
      </c>
      <c r="AL16" s="25"/>
      <c r="AM16" s="25">
        <v>3848.1899999999996</v>
      </c>
      <c r="AN16" s="25"/>
      <c r="AO16" s="25">
        <v>1282.7100000000005</v>
      </c>
      <c r="AP16" s="25">
        <v>14562.350000000002</v>
      </c>
      <c r="AQ16" s="25">
        <v>1282.7400000000002</v>
      </c>
      <c r="AR16" s="25"/>
      <c r="AS16" s="26">
        <v>17675.62</v>
      </c>
      <c r="AT16" s="30">
        <f t="shared" ref="AT16:AT44" si="2">SUM(B16:AS16)</f>
        <v>199999.21000000002</v>
      </c>
      <c r="AU16" s="8">
        <f t="shared" si="1"/>
        <v>7.0124858259132089E-2</v>
      </c>
      <c r="AV16" s="1" t="s">
        <v>68</v>
      </c>
    </row>
    <row r="17" spans="1:48" x14ac:dyDescent="0.2">
      <c r="A17" s="1" t="s">
        <v>41</v>
      </c>
      <c r="B17" s="25">
        <v>9819.43</v>
      </c>
      <c r="C17" s="25">
        <v>0</v>
      </c>
      <c r="D17" s="25">
        <v>1858.06</v>
      </c>
      <c r="E17" s="25">
        <v>3782.9900000000007</v>
      </c>
      <c r="F17" s="25">
        <v>10771.64</v>
      </c>
      <c r="G17" s="25">
        <v>2273.7200000000003</v>
      </c>
      <c r="H17" s="25"/>
      <c r="I17" s="25">
        <v>16310.3</v>
      </c>
      <c r="J17" s="25">
        <v>7153.8799999999992</v>
      </c>
      <c r="K17" s="25">
        <v>755.61</v>
      </c>
      <c r="L17" s="25">
        <v>3024.42</v>
      </c>
      <c r="M17" s="25">
        <v>1962.6900000000005</v>
      </c>
      <c r="N17" s="25">
        <v>0</v>
      </c>
      <c r="O17" s="25"/>
      <c r="P17" s="25">
        <v>1802.0299999999997</v>
      </c>
      <c r="Q17" s="25">
        <v>756.59000000000015</v>
      </c>
      <c r="R17" s="25">
        <v>3864.13</v>
      </c>
      <c r="S17" s="25">
        <v>3325.0300000000007</v>
      </c>
      <c r="T17" s="25">
        <v>830.21999999999935</v>
      </c>
      <c r="U17" s="25">
        <v>1996.21</v>
      </c>
      <c r="V17" s="25">
        <v>2062.59</v>
      </c>
      <c r="W17" s="25"/>
      <c r="X17" s="25"/>
      <c r="Y17" s="25"/>
      <c r="Z17" s="25">
        <v>1515.1599999999999</v>
      </c>
      <c r="AA17" s="25">
        <v>756.58999999999969</v>
      </c>
      <c r="AB17" s="25">
        <v>195.96000000000004</v>
      </c>
      <c r="AC17" s="25">
        <v>3797.79</v>
      </c>
      <c r="AD17" s="25">
        <v>1517.1399999999999</v>
      </c>
      <c r="AE17" s="25">
        <v>757.58999999999992</v>
      </c>
      <c r="AF17" s="25">
        <v>2894.05</v>
      </c>
      <c r="AG17" s="25"/>
      <c r="AH17" s="25">
        <v>8999.2699999999986</v>
      </c>
      <c r="AI17" s="25">
        <v>1265.4600000000003</v>
      </c>
      <c r="AJ17" s="25"/>
      <c r="AK17" s="25">
        <v>2316.62</v>
      </c>
      <c r="AL17" s="25"/>
      <c r="AM17" s="25">
        <v>2266.8100000000004</v>
      </c>
      <c r="AN17" s="25"/>
      <c r="AO17" s="25">
        <v>755.59000000000015</v>
      </c>
      <c r="AP17" s="25">
        <v>7910.1899999999987</v>
      </c>
      <c r="AQ17" s="25">
        <v>755.61000000000013</v>
      </c>
      <c r="AR17" s="25"/>
      <c r="AS17" s="26">
        <v>12960.92</v>
      </c>
      <c r="AT17" s="30">
        <f t="shared" si="2"/>
        <v>121014.29000000001</v>
      </c>
      <c r="AU17" s="8">
        <f t="shared" si="1"/>
        <v>4.2430717269230742E-2</v>
      </c>
      <c r="AV17" s="1" t="s">
        <v>68</v>
      </c>
    </row>
    <row r="18" spans="1:48" x14ac:dyDescent="0.2">
      <c r="A18" s="1" t="s">
        <v>42</v>
      </c>
      <c r="B18" s="25">
        <v>5779.0999999999985</v>
      </c>
      <c r="C18" s="25">
        <v>0</v>
      </c>
      <c r="D18" s="25">
        <v>1101.79</v>
      </c>
      <c r="E18" s="25">
        <v>2243.2300000000005</v>
      </c>
      <c r="F18" s="25">
        <v>6366.92</v>
      </c>
      <c r="G18" s="25">
        <v>1348.27</v>
      </c>
      <c r="H18" s="25"/>
      <c r="I18" s="25">
        <v>9811.3999999999978</v>
      </c>
      <c r="J18" s="25">
        <v>4242.1100000000006</v>
      </c>
      <c r="K18" s="25">
        <v>448.06</v>
      </c>
      <c r="L18" s="25">
        <v>1793.42</v>
      </c>
      <c r="M18" s="25">
        <v>1163.8299999999997</v>
      </c>
      <c r="N18" s="25">
        <v>0</v>
      </c>
      <c r="O18" s="25"/>
      <c r="P18" s="25">
        <v>1068.5699999999997</v>
      </c>
      <c r="Q18" s="25">
        <v>448.6400000000001</v>
      </c>
      <c r="R18" s="25">
        <v>2291.3500000000004</v>
      </c>
      <c r="S18" s="25">
        <v>2044.8999999999996</v>
      </c>
      <c r="T18" s="25">
        <v>492.30000000000018</v>
      </c>
      <c r="U18" s="25">
        <v>1183.7099999999998</v>
      </c>
      <c r="V18" s="25">
        <v>1223.0699999999997</v>
      </c>
      <c r="W18" s="25"/>
      <c r="X18" s="25"/>
      <c r="Y18" s="25"/>
      <c r="Z18" s="25">
        <v>898.46</v>
      </c>
      <c r="AA18" s="25">
        <v>448.63999999999987</v>
      </c>
      <c r="AB18" s="25">
        <v>116.20000000000005</v>
      </c>
      <c r="AC18" s="25">
        <v>2252.0199999999995</v>
      </c>
      <c r="AD18" s="25">
        <v>899.63000000000011</v>
      </c>
      <c r="AE18" s="25">
        <v>449.24</v>
      </c>
      <c r="AF18" s="25">
        <v>1716.1200000000003</v>
      </c>
      <c r="AG18" s="25"/>
      <c r="AH18" s="25">
        <v>5336.3799999999992</v>
      </c>
      <c r="AI18" s="25">
        <v>750.3900000000001</v>
      </c>
      <c r="AJ18" s="25"/>
      <c r="AK18" s="25">
        <v>1373.7099999999998</v>
      </c>
      <c r="AL18" s="25"/>
      <c r="AM18" s="25">
        <v>1344.17</v>
      </c>
      <c r="AN18" s="25"/>
      <c r="AO18" s="25">
        <v>448.05000000000018</v>
      </c>
      <c r="AP18" s="25">
        <v>4690.58</v>
      </c>
      <c r="AQ18" s="25">
        <v>448.05999999999995</v>
      </c>
      <c r="AR18" s="25"/>
      <c r="AS18" s="26">
        <v>7267.12</v>
      </c>
      <c r="AT18" s="30">
        <f t="shared" si="2"/>
        <v>71489.439999999988</v>
      </c>
      <c r="AU18" s="8">
        <f t="shared" si="1"/>
        <v>2.5066033245954956E-2</v>
      </c>
      <c r="AV18" s="1" t="s">
        <v>68</v>
      </c>
    </row>
    <row r="19" spans="1:48" x14ac:dyDescent="0.2">
      <c r="A19" s="1" t="s">
        <v>43</v>
      </c>
      <c r="B19" s="25">
        <v>5163.99</v>
      </c>
      <c r="C19" s="25">
        <v>0</v>
      </c>
      <c r="D19" s="25">
        <v>1271.42</v>
      </c>
      <c r="E19" s="25">
        <v>2015.0400000000004</v>
      </c>
      <c r="F19" s="25">
        <v>5255.0500000000011</v>
      </c>
      <c r="G19" s="25">
        <v>1308.1300000000001</v>
      </c>
      <c r="H19" s="25"/>
      <c r="I19" s="25">
        <v>8059.130000000001</v>
      </c>
      <c r="J19" s="25">
        <v>3580.2500000000009</v>
      </c>
      <c r="K19" s="25">
        <v>366.95000000000005</v>
      </c>
      <c r="L19" s="25">
        <v>1638.02</v>
      </c>
      <c r="M19" s="25">
        <v>851.18000000000006</v>
      </c>
      <c r="N19" s="25">
        <v>0</v>
      </c>
      <c r="O19" s="25"/>
      <c r="P19" s="25">
        <v>1091.8899999999999</v>
      </c>
      <c r="Q19" s="25">
        <v>405.64</v>
      </c>
      <c r="R19" s="25">
        <v>1827.5099999999998</v>
      </c>
      <c r="S19" s="25">
        <v>1575.42</v>
      </c>
      <c r="T19" s="25">
        <v>509.85000000000014</v>
      </c>
      <c r="U19" s="25">
        <v>1117.7400000000002</v>
      </c>
      <c r="V19" s="25">
        <v>919.2800000000002</v>
      </c>
      <c r="W19" s="25"/>
      <c r="X19" s="25"/>
      <c r="Y19" s="25"/>
      <c r="Z19" s="25">
        <v>766.91999999999985</v>
      </c>
      <c r="AA19" s="25">
        <v>379.16000000000008</v>
      </c>
      <c r="AB19" s="25">
        <v>577.29000000000019</v>
      </c>
      <c r="AC19" s="25">
        <v>1757.5900000000006</v>
      </c>
      <c r="AD19" s="25">
        <v>798.31</v>
      </c>
      <c r="AE19" s="25">
        <v>378.56000000000006</v>
      </c>
      <c r="AF19" s="25">
        <v>1710.5900000000001</v>
      </c>
      <c r="AG19" s="25"/>
      <c r="AH19" s="25">
        <v>4780.7599999999993</v>
      </c>
      <c r="AI19" s="25">
        <v>504.37</v>
      </c>
      <c r="AJ19" s="25"/>
      <c r="AK19" s="25">
        <v>1259.83</v>
      </c>
      <c r="AL19" s="25"/>
      <c r="AM19" s="25">
        <v>1099.5999999999999</v>
      </c>
      <c r="AN19" s="25"/>
      <c r="AO19" s="25">
        <v>390.59999999999991</v>
      </c>
      <c r="AP19" s="25">
        <v>3851.13</v>
      </c>
      <c r="AQ19" s="25">
        <v>354.48</v>
      </c>
      <c r="AR19" s="25"/>
      <c r="AS19" s="26">
        <v>8490.16</v>
      </c>
      <c r="AT19" s="30">
        <f t="shared" si="2"/>
        <v>64055.840000000011</v>
      </c>
      <c r="AU19" s="8">
        <f t="shared" si="1"/>
        <v>2.2459622218855984E-2</v>
      </c>
    </row>
    <row r="20" spans="1:48" x14ac:dyDescent="0.2">
      <c r="A20" s="1" t="s">
        <v>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/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/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/>
      <c r="X20" s="25"/>
      <c r="Y20" s="25"/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/>
      <c r="AH20" s="25">
        <v>0</v>
      </c>
      <c r="AI20" s="25">
        <v>0</v>
      </c>
      <c r="AJ20" s="25"/>
      <c r="AK20" s="25">
        <v>0</v>
      </c>
      <c r="AL20" s="25"/>
      <c r="AM20" s="25">
        <v>0</v>
      </c>
      <c r="AN20" s="25"/>
      <c r="AO20" s="25">
        <v>0</v>
      </c>
      <c r="AP20" s="25">
        <v>0</v>
      </c>
      <c r="AQ20" s="25">
        <v>0</v>
      </c>
      <c r="AR20" s="25"/>
      <c r="AS20" s="26">
        <v>1447</v>
      </c>
      <c r="AT20" s="30">
        <f t="shared" si="2"/>
        <v>1447</v>
      </c>
      <c r="AU20" s="8">
        <f t="shared" si="1"/>
        <v>5.0735535355846714E-4</v>
      </c>
    </row>
    <row r="21" spans="1:48" x14ac:dyDescent="0.2">
      <c r="A21" s="1" t="s">
        <v>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/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/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/>
      <c r="X21" s="25"/>
      <c r="Y21" s="25"/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/>
      <c r="AH21" s="25">
        <v>0</v>
      </c>
      <c r="AI21" s="25">
        <v>0</v>
      </c>
      <c r="AJ21" s="25"/>
      <c r="AK21" s="25">
        <v>0</v>
      </c>
      <c r="AL21" s="25"/>
      <c r="AM21" s="25">
        <v>0</v>
      </c>
      <c r="AN21" s="25"/>
      <c r="AO21" s="25">
        <v>0</v>
      </c>
      <c r="AP21" s="25">
        <v>0</v>
      </c>
      <c r="AQ21" s="25">
        <v>4400</v>
      </c>
      <c r="AR21" s="25"/>
      <c r="AS21" s="26">
        <v>985</v>
      </c>
      <c r="AT21" s="30">
        <f t="shared" si="2"/>
        <v>5385</v>
      </c>
      <c r="AU21" s="8">
        <f t="shared" si="1"/>
        <v>1.8881192666982348E-3</v>
      </c>
    </row>
    <row r="22" spans="1:48" x14ac:dyDescent="0.2">
      <c r="A22" s="1" t="s">
        <v>46</v>
      </c>
      <c r="B22" s="25">
        <v>5440</v>
      </c>
      <c r="C22" s="25">
        <v>0</v>
      </c>
      <c r="D22" s="25">
        <v>2040</v>
      </c>
      <c r="E22" s="25">
        <v>0</v>
      </c>
      <c r="F22" s="25">
        <v>3400</v>
      </c>
      <c r="G22" s="25">
        <v>1360</v>
      </c>
      <c r="H22" s="25"/>
      <c r="I22" s="25">
        <v>5650</v>
      </c>
      <c r="J22" s="25">
        <v>6120</v>
      </c>
      <c r="K22" s="25">
        <v>680</v>
      </c>
      <c r="L22" s="25">
        <v>3400</v>
      </c>
      <c r="M22" s="25">
        <v>4080</v>
      </c>
      <c r="N22" s="25">
        <v>0</v>
      </c>
      <c r="O22" s="25"/>
      <c r="P22" s="25">
        <v>1360</v>
      </c>
      <c r="Q22" s="25">
        <v>0</v>
      </c>
      <c r="R22" s="25">
        <v>0</v>
      </c>
      <c r="S22" s="25">
        <v>2040</v>
      </c>
      <c r="T22" s="25">
        <v>1360</v>
      </c>
      <c r="U22" s="25">
        <v>1360</v>
      </c>
      <c r="V22" s="25">
        <v>0</v>
      </c>
      <c r="W22" s="25"/>
      <c r="X22" s="25"/>
      <c r="Y22" s="25"/>
      <c r="Z22" s="25">
        <v>0</v>
      </c>
      <c r="AA22" s="25">
        <v>0</v>
      </c>
      <c r="AB22" s="25">
        <v>0</v>
      </c>
      <c r="AC22" s="25">
        <v>2040</v>
      </c>
      <c r="AD22" s="25">
        <v>0</v>
      </c>
      <c r="AE22" s="25">
        <v>680</v>
      </c>
      <c r="AF22" s="25">
        <v>2720</v>
      </c>
      <c r="AG22" s="25"/>
      <c r="AH22" s="25">
        <v>7480</v>
      </c>
      <c r="AI22" s="25">
        <v>1360</v>
      </c>
      <c r="AJ22" s="25"/>
      <c r="AK22" s="25">
        <v>1360</v>
      </c>
      <c r="AL22" s="25"/>
      <c r="AM22" s="25">
        <v>2040</v>
      </c>
      <c r="AN22" s="25"/>
      <c r="AO22" s="25">
        <v>680</v>
      </c>
      <c r="AP22" s="25">
        <v>8160</v>
      </c>
      <c r="AQ22" s="25">
        <v>0</v>
      </c>
      <c r="AR22" s="25"/>
      <c r="AS22" s="26">
        <v>6660</v>
      </c>
      <c r="AT22" s="30">
        <f t="shared" si="2"/>
        <v>71470</v>
      </c>
      <c r="AU22" s="8">
        <f t="shared" si="1"/>
        <v>2.5059217082808328E-2</v>
      </c>
    </row>
    <row r="23" spans="1:48" x14ac:dyDescent="0.2">
      <c r="A23" s="1" t="s">
        <v>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/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/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/>
      <c r="X23" s="25"/>
      <c r="Y23" s="25"/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/>
      <c r="AH23" s="25">
        <v>0</v>
      </c>
      <c r="AI23" s="25">
        <v>0</v>
      </c>
      <c r="AJ23" s="25"/>
      <c r="AK23" s="25">
        <v>0</v>
      </c>
      <c r="AL23" s="25"/>
      <c r="AM23" s="25">
        <v>0</v>
      </c>
      <c r="AN23" s="25"/>
      <c r="AO23" s="25">
        <v>0</v>
      </c>
      <c r="AP23" s="25">
        <v>0</v>
      </c>
      <c r="AQ23" s="25">
        <v>0</v>
      </c>
      <c r="AR23" s="25"/>
      <c r="AS23" s="26">
        <v>1293</v>
      </c>
      <c r="AT23" s="30">
        <f t="shared" si="2"/>
        <v>1293</v>
      </c>
      <c r="AU23" s="8">
        <f t="shared" si="1"/>
        <v>4.533589994133366E-4</v>
      </c>
    </row>
    <row r="24" spans="1:48" x14ac:dyDescent="0.2">
      <c r="A24" s="1" t="s">
        <v>48</v>
      </c>
      <c r="B24" s="25">
        <v>283.62</v>
      </c>
      <c r="C24" s="25">
        <v>283.62</v>
      </c>
      <c r="D24" s="25">
        <v>0</v>
      </c>
      <c r="E24" s="25">
        <v>283.62</v>
      </c>
      <c r="F24" s="25">
        <v>283.62</v>
      </c>
      <c r="G24" s="25">
        <v>283.62</v>
      </c>
      <c r="H24" s="25"/>
      <c r="I24" s="25">
        <v>283.62</v>
      </c>
      <c r="J24" s="25">
        <v>283.62</v>
      </c>
      <c r="K24" s="25">
        <v>0</v>
      </c>
      <c r="L24" s="25">
        <v>283.62</v>
      </c>
      <c r="M24" s="25">
        <v>283.62</v>
      </c>
      <c r="N24" s="25">
        <v>0</v>
      </c>
      <c r="O24" s="25"/>
      <c r="P24" s="25">
        <v>283.62</v>
      </c>
      <c r="Q24" s="25">
        <v>283.62</v>
      </c>
      <c r="R24" s="25">
        <v>567.24</v>
      </c>
      <c r="S24" s="25">
        <v>283.62</v>
      </c>
      <c r="T24" s="25">
        <v>283.62</v>
      </c>
      <c r="U24" s="25">
        <v>283.62</v>
      </c>
      <c r="V24" s="25">
        <v>283.61999999999989</v>
      </c>
      <c r="W24" s="25"/>
      <c r="X24" s="25"/>
      <c r="Y24" s="25"/>
      <c r="Z24" s="25">
        <v>283.62</v>
      </c>
      <c r="AA24" s="25">
        <v>283.62</v>
      </c>
      <c r="AB24" s="25">
        <v>283.62</v>
      </c>
      <c r="AC24" s="25">
        <v>283.62</v>
      </c>
      <c r="AD24" s="25">
        <v>283.62</v>
      </c>
      <c r="AE24" s="25">
        <v>283.62</v>
      </c>
      <c r="AF24" s="25">
        <v>567.24</v>
      </c>
      <c r="AG24" s="25"/>
      <c r="AH24" s="25">
        <v>283.62</v>
      </c>
      <c r="AI24" s="25">
        <v>283.62</v>
      </c>
      <c r="AJ24" s="25"/>
      <c r="AK24" s="25">
        <v>283.62</v>
      </c>
      <c r="AL24" s="25"/>
      <c r="AM24" s="25">
        <v>283.62</v>
      </c>
      <c r="AN24" s="25"/>
      <c r="AO24" s="25">
        <v>283.62</v>
      </c>
      <c r="AP24" s="25">
        <v>567.24</v>
      </c>
      <c r="AQ24" s="25">
        <v>283.62</v>
      </c>
      <c r="AR24" s="25"/>
      <c r="AS24" s="26">
        <v>4314.67</v>
      </c>
      <c r="AT24" s="30">
        <f t="shared" si="2"/>
        <v>13674.13</v>
      </c>
      <c r="AU24" s="8">
        <f t="shared" si="1"/>
        <v>4.7945010786139891E-3</v>
      </c>
    </row>
    <row r="25" spans="1:48" x14ac:dyDescent="0.2">
      <c r="A25" s="1" t="s">
        <v>49</v>
      </c>
      <c r="B25" s="25">
        <v>91.840000000000032</v>
      </c>
      <c r="C25" s="25">
        <v>65.600000000000023</v>
      </c>
      <c r="D25" s="25">
        <v>0</v>
      </c>
      <c r="E25" s="25">
        <v>385.36</v>
      </c>
      <c r="F25" s="25">
        <v>274.73</v>
      </c>
      <c r="G25" s="25">
        <v>41.640000000000015</v>
      </c>
      <c r="H25" s="25"/>
      <c r="I25" s="25">
        <v>429.68999999999994</v>
      </c>
      <c r="J25" s="25">
        <v>391.59000000000003</v>
      </c>
      <c r="K25" s="25">
        <v>114.53</v>
      </c>
      <c r="L25" s="25">
        <v>127.30000000000001</v>
      </c>
      <c r="M25" s="25">
        <v>78.800000000000011</v>
      </c>
      <c r="N25" s="25">
        <v>0</v>
      </c>
      <c r="O25" s="25"/>
      <c r="P25" s="25">
        <v>296.62</v>
      </c>
      <c r="Q25" s="25">
        <v>78.129999999999967</v>
      </c>
      <c r="R25" s="25">
        <v>335.25000000000006</v>
      </c>
      <c r="S25" s="25">
        <v>181.63</v>
      </c>
      <c r="T25" s="25">
        <v>87.519999999999982</v>
      </c>
      <c r="U25" s="25">
        <v>206.51</v>
      </c>
      <c r="V25" s="25">
        <v>0</v>
      </c>
      <c r="W25" s="25"/>
      <c r="X25" s="25"/>
      <c r="Y25" s="25"/>
      <c r="Z25" s="25">
        <v>0</v>
      </c>
      <c r="AA25" s="25">
        <v>61.1400000000001</v>
      </c>
      <c r="AB25" s="25">
        <v>0</v>
      </c>
      <c r="AC25" s="25">
        <v>200.17000000000007</v>
      </c>
      <c r="AD25" s="25">
        <v>32.659999999999997</v>
      </c>
      <c r="AE25" s="25">
        <v>45.230000000000004</v>
      </c>
      <c r="AF25" s="25">
        <v>113.49999999999994</v>
      </c>
      <c r="AG25" s="25"/>
      <c r="AH25" s="25">
        <v>164.55</v>
      </c>
      <c r="AI25" s="25">
        <v>24.650000000000034</v>
      </c>
      <c r="AJ25" s="25"/>
      <c r="AK25" s="25">
        <v>52.779999999999973</v>
      </c>
      <c r="AL25" s="25"/>
      <c r="AM25" s="25">
        <v>109.91</v>
      </c>
      <c r="AN25" s="25"/>
      <c r="AO25" s="25">
        <v>68.400000000000006</v>
      </c>
      <c r="AP25" s="25">
        <v>124.92000000000002</v>
      </c>
      <c r="AQ25" s="25">
        <v>0</v>
      </c>
      <c r="AR25" s="25"/>
      <c r="AS25" s="26">
        <v>2653.51</v>
      </c>
      <c r="AT25" s="30">
        <f t="shared" si="2"/>
        <v>6838.1600000000008</v>
      </c>
      <c r="AU25" s="8">
        <f t="shared" si="1"/>
        <v>2.3976344744225074E-3</v>
      </c>
    </row>
    <row r="26" spans="1:48" x14ac:dyDescent="0.2">
      <c r="A26" s="1" t="s">
        <v>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/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/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/>
      <c r="X26" s="25"/>
      <c r="Y26" s="25"/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/>
      <c r="AH26" s="25">
        <v>0</v>
      </c>
      <c r="AI26" s="25">
        <v>0</v>
      </c>
      <c r="AJ26" s="25"/>
      <c r="AK26" s="25">
        <v>0</v>
      </c>
      <c r="AL26" s="25"/>
      <c r="AM26" s="25">
        <v>0</v>
      </c>
      <c r="AN26" s="25"/>
      <c r="AO26" s="25">
        <v>0</v>
      </c>
      <c r="AP26" s="25">
        <v>0</v>
      </c>
      <c r="AQ26" s="25">
        <v>0</v>
      </c>
      <c r="AR26" s="25"/>
      <c r="AS26" s="26">
        <v>44837.96</v>
      </c>
      <c r="AT26" s="30">
        <f t="shared" si="2"/>
        <v>44837.96</v>
      </c>
      <c r="AU26" s="8">
        <f t="shared" si="1"/>
        <v>1.5721340047436357E-2</v>
      </c>
    </row>
    <row r="27" spans="1:48" x14ac:dyDescent="0.2">
      <c r="A27" s="1" t="s">
        <v>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/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/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/>
      <c r="X27" s="25"/>
      <c r="Y27" s="25"/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/>
      <c r="AH27" s="25">
        <v>0</v>
      </c>
      <c r="AI27" s="25">
        <v>0</v>
      </c>
      <c r="AJ27" s="25"/>
      <c r="AK27" s="25">
        <v>0</v>
      </c>
      <c r="AL27" s="25"/>
      <c r="AM27" s="25">
        <v>0</v>
      </c>
      <c r="AN27" s="25"/>
      <c r="AO27" s="25">
        <v>0</v>
      </c>
      <c r="AP27" s="25">
        <v>0</v>
      </c>
      <c r="AQ27" s="25">
        <v>0</v>
      </c>
      <c r="AR27" s="25"/>
      <c r="AS27" s="26">
        <v>0</v>
      </c>
      <c r="AT27" s="30">
        <f t="shared" si="2"/>
        <v>0</v>
      </c>
      <c r="AU27" s="8">
        <f t="shared" si="1"/>
        <v>0</v>
      </c>
    </row>
    <row r="28" spans="1:48" x14ac:dyDescent="0.2">
      <c r="A28" s="1" t="s">
        <v>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/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/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/>
      <c r="X28" s="25"/>
      <c r="Y28" s="25"/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/>
      <c r="AH28" s="25">
        <v>0</v>
      </c>
      <c r="AI28" s="25">
        <v>0</v>
      </c>
      <c r="AJ28" s="25"/>
      <c r="AK28" s="25">
        <v>0</v>
      </c>
      <c r="AL28" s="25"/>
      <c r="AM28" s="25">
        <v>0</v>
      </c>
      <c r="AN28" s="25"/>
      <c r="AO28" s="25">
        <v>0</v>
      </c>
      <c r="AP28" s="25">
        <v>0</v>
      </c>
      <c r="AQ28" s="25">
        <v>0</v>
      </c>
      <c r="AR28" s="25"/>
      <c r="AS28" s="26">
        <v>0</v>
      </c>
      <c r="AT28" s="30">
        <f t="shared" si="2"/>
        <v>0</v>
      </c>
      <c r="AU28" s="8">
        <f t="shared" si="1"/>
        <v>0</v>
      </c>
    </row>
    <row r="29" spans="1:48" x14ac:dyDescent="0.2">
      <c r="A29" s="1" t="s">
        <v>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/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/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/>
      <c r="X29" s="25"/>
      <c r="Y29" s="25"/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/>
      <c r="AH29" s="25">
        <v>0</v>
      </c>
      <c r="AI29" s="25">
        <v>0</v>
      </c>
      <c r="AJ29" s="25"/>
      <c r="AK29" s="25">
        <v>0</v>
      </c>
      <c r="AL29" s="25"/>
      <c r="AM29" s="25">
        <v>0</v>
      </c>
      <c r="AN29" s="25"/>
      <c r="AO29" s="25">
        <v>0</v>
      </c>
      <c r="AP29" s="25">
        <v>0</v>
      </c>
      <c r="AQ29" s="25">
        <v>0</v>
      </c>
      <c r="AR29" s="25"/>
      <c r="AS29" s="26">
        <v>441.16</v>
      </c>
      <c r="AT29" s="30">
        <f t="shared" si="2"/>
        <v>441.16</v>
      </c>
      <c r="AU29" s="8">
        <f t="shared" si="1"/>
        <v>1.5468202334198577E-4</v>
      </c>
    </row>
    <row r="30" spans="1:48" x14ac:dyDescent="0.2">
      <c r="A30" s="1" t="s">
        <v>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/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/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/>
      <c r="X30" s="25"/>
      <c r="Y30" s="25"/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/>
      <c r="AH30" s="25">
        <v>0</v>
      </c>
      <c r="AI30" s="25">
        <v>0</v>
      </c>
      <c r="AJ30" s="25"/>
      <c r="AK30" s="25">
        <v>0</v>
      </c>
      <c r="AL30" s="25"/>
      <c r="AM30" s="25">
        <v>0</v>
      </c>
      <c r="AN30" s="25"/>
      <c r="AO30" s="25">
        <v>0</v>
      </c>
      <c r="AP30" s="25">
        <v>0</v>
      </c>
      <c r="AQ30" s="25">
        <v>0</v>
      </c>
      <c r="AR30" s="25"/>
      <c r="AS30" s="26">
        <v>0</v>
      </c>
      <c r="AT30" s="30">
        <f t="shared" si="2"/>
        <v>0</v>
      </c>
      <c r="AU30" s="8">
        <f t="shared" si="1"/>
        <v>0</v>
      </c>
    </row>
    <row r="31" spans="1:48" x14ac:dyDescent="0.2">
      <c r="A31" s="1" t="s">
        <v>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/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/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/>
      <c r="X31" s="25"/>
      <c r="Y31" s="25"/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/>
      <c r="AH31" s="25">
        <v>0</v>
      </c>
      <c r="AI31" s="25">
        <v>0</v>
      </c>
      <c r="AJ31" s="25"/>
      <c r="AK31" s="25">
        <v>0</v>
      </c>
      <c r="AL31" s="25"/>
      <c r="AM31" s="25">
        <v>0</v>
      </c>
      <c r="AN31" s="25"/>
      <c r="AO31" s="25">
        <v>0</v>
      </c>
      <c r="AP31" s="25">
        <v>0</v>
      </c>
      <c r="AQ31" s="25">
        <v>0</v>
      </c>
      <c r="AR31" s="25"/>
      <c r="AS31" s="26">
        <v>18703.14</v>
      </c>
      <c r="AT31" s="30">
        <f t="shared" si="2"/>
        <v>18703.14</v>
      </c>
      <c r="AU31" s="8">
        <f t="shared" si="1"/>
        <v>6.5578011108179055E-3</v>
      </c>
    </row>
    <row r="32" spans="1:48" x14ac:dyDescent="0.2">
      <c r="A32" s="1" t="s">
        <v>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/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/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/>
      <c r="X32" s="25"/>
      <c r="Y32" s="25"/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/>
      <c r="AH32" s="25">
        <v>0</v>
      </c>
      <c r="AI32" s="25">
        <v>0</v>
      </c>
      <c r="AJ32" s="25"/>
      <c r="AK32" s="25">
        <v>0</v>
      </c>
      <c r="AL32" s="25"/>
      <c r="AM32" s="25">
        <v>0</v>
      </c>
      <c r="AN32" s="25"/>
      <c r="AO32" s="25">
        <v>0</v>
      </c>
      <c r="AP32" s="25">
        <v>0</v>
      </c>
      <c r="AQ32" s="25">
        <v>0</v>
      </c>
      <c r="AR32" s="25"/>
      <c r="AS32" s="26">
        <v>0</v>
      </c>
      <c r="AT32" s="30">
        <f t="shared" si="2"/>
        <v>0</v>
      </c>
      <c r="AU32" s="8">
        <f t="shared" si="1"/>
        <v>0</v>
      </c>
    </row>
    <row r="33" spans="1:48" x14ac:dyDescent="0.2">
      <c r="A33" s="76" t="s">
        <v>102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/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/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/>
      <c r="X33" s="25"/>
      <c r="Y33" s="25"/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/>
      <c r="AH33" s="25">
        <v>0</v>
      </c>
      <c r="AI33" s="25">
        <v>0</v>
      </c>
      <c r="AJ33" s="25"/>
      <c r="AK33" s="25">
        <v>0</v>
      </c>
      <c r="AL33" s="25"/>
      <c r="AM33" s="25">
        <v>0</v>
      </c>
      <c r="AN33" s="25"/>
      <c r="AO33" s="25">
        <v>0</v>
      </c>
      <c r="AP33" s="25">
        <v>0</v>
      </c>
      <c r="AQ33" s="25">
        <v>0</v>
      </c>
      <c r="AR33" s="25"/>
      <c r="AS33" s="26">
        <v>5000</v>
      </c>
      <c r="AT33" s="30">
        <f t="shared" si="2"/>
        <v>5000</v>
      </c>
      <c r="AU33" s="8">
        <f t="shared" si="1"/>
        <v>1.7531283813354084E-3</v>
      </c>
    </row>
    <row r="34" spans="1:48" x14ac:dyDescent="0.2">
      <c r="A34" s="1" t="s">
        <v>57</v>
      </c>
      <c r="B34" s="25">
        <v>0</v>
      </c>
      <c r="C34" s="25">
        <v>0</v>
      </c>
      <c r="D34" s="25">
        <v>215.51999999999998</v>
      </c>
      <c r="E34" s="25">
        <v>0</v>
      </c>
      <c r="F34" s="25">
        <v>0</v>
      </c>
      <c r="G34" s="25">
        <v>0</v>
      </c>
      <c r="H34" s="25"/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/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/>
      <c r="X34" s="25"/>
      <c r="Y34" s="25"/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/>
      <c r="AH34" s="25">
        <v>0</v>
      </c>
      <c r="AI34" s="25">
        <v>0</v>
      </c>
      <c r="AJ34" s="25"/>
      <c r="AK34" s="25">
        <v>0</v>
      </c>
      <c r="AL34" s="25"/>
      <c r="AM34" s="25">
        <v>0</v>
      </c>
      <c r="AN34" s="25"/>
      <c r="AO34" s="25">
        <v>0</v>
      </c>
      <c r="AP34" s="25">
        <v>6060</v>
      </c>
      <c r="AQ34" s="25">
        <v>0</v>
      </c>
      <c r="AR34" s="25"/>
      <c r="AS34" s="26">
        <v>0</v>
      </c>
      <c r="AT34" s="30">
        <f t="shared" si="2"/>
        <v>6275.52</v>
      </c>
      <c r="AU34" s="8">
        <f t="shared" si="1"/>
        <v>2.2003584439275964E-3</v>
      </c>
    </row>
    <row r="35" spans="1:48" x14ac:dyDescent="0.2">
      <c r="A35" s="1" t="s">
        <v>58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/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/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/>
      <c r="X35" s="25"/>
      <c r="Y35" s="25"/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/>
      <c r="AH35" s="25">
        <v>0</v>
      </c>
      <c r="AI35" s="25">
        <v>0</v>
      </c>
      <c r="AJ35" s="25"/>
      <c r="AK35" s="25">
        <v>0</v>
      </c>
      <c r="AL35" s="25"/>
      <c r="AM35" s="25">
        <v>0</v>
      </c>
      <c r="AN35" s="25"/>
      <c r="AO35" s="25">
        <v>0</v>
      </c>
      <c r="AP35" s="25">
        <v>0</v>
      </c>
      <c r="AQ35" s="25">
        <v>0</v>
      </c>
      <c r="AR35" s="25"/>
      <c r="AS35" s="26">
        <v>0</v>
      </c>
      <c r="AT35" s="30">
        <f t="shared" si="2"/>
        <v>0</v>
      </c>
      <c r="AU35" s="8">
        <f t="shared" si="1"/>
        <v>0</v>
      </c>
    </row>
    <row r="36" spans="1:48" x14ac:dyDescent="0.2">
      <c r="A36" s="1" t="s">
        <v>59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/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/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/>
      <c r="X36" s="25"/>
      <c r="Y36" s="25"/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/>
      <c r="AH36" s="25">
        <v>0</v>
      </c>
      <c r="AI36" s="25">
        <v>0</v>
      </c>
      <c r="AJ36" s="25"/>
      <c r="AK36" s="25">
        <v>0</v>
      </c>
      <c r="AL36" s="25"/>
      <c r="AM36" s="25">
        <v>0</v>
      </c>
      <c r="AN36" s="25"/>
      <c r="AO36" s="25">
        <v>0</v>
      </c>
      <c r="AP36" s="25">
        <v>0</v>
      </c>
      <c r="AQ36" s="25">
        <v>0</v>
      </c>
      <c r="AR36" s="25"/>
      <c r="AS36" s="26">
        <v>0</v>
      </c>
      <c r="AT36" s="30">
        <f t="shared" si="2"/>
        <v>0</v>
      </c>
      <c r="AU36" s="8">
        <f t="shared" si="1"/>
        <v>0</v>
      </c>
    </row>
    <row r="37" spans="1:48" x14ac:dyDescent="0.2">
      <c r="A37" s="1" t="s">
        <v>60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/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/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/>
      <c r="X37" s="25"/>
      <c r="Y37" s="25"/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/>
      <c r="AH37" s="25">
        <v>0</v>
      </c>
      <c r="AI37" s="25">
        <v>0</v>
      </c>
      <c r="AJ37" s="25"/>
      <c r="AK37" s="25">
        <v>0</v>
      </c>
      <c r="AL37" s="25"/>
      <c r="AM37" s="25">
        <v>0</v>
      </c>
      <c r="AN37" s="25"/>
      <c r="AO37" s="25">
        <v>0</v>
      </c>
      <c r="AP37" s="25">
        <v>0</v>
      </c>
      <c r="AQ37" s="25">
        <v>0</v>
      </c>
      <c r="AR37" s="25"/>
      <c r="AS37" s="26">
        <v>18400</v>
      </c>
      <c r="AT37" s="30">
        <f t="shared" si="2"/>
        <v>18400</v>
      </c>
      <c r="AU37" s="8">
        <f t="shared" si="1"/>
        <v>6.4515124433143023E-3</v>
      </c>
    </row>
    <row r="38" spans="1:48" x14ac:dyDescent="0.2">
      <c r="A38" s="1" t="s">
        <v>61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/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/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/>
      <c r="X38" s="25"/>
      <c r="Y38" s="25"/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/>
      <c r="AH38" s="25">
        <v>0</v>
      </c>
      <c r="AI38" s="25">
        <v>0</v>
      </c>
      <c r="AJ38" s="25"/>
      <c r="AK38" s="25">
        <v>0</v>
      </c>
      <c r="AL38" s="25"/>
      <c r="AM38" s="25">
        <v>0</v>
      </c>
      <c r="AN38" s="25"/>
      <c r="AO38" s="25">
        <v>0</v>
      </c>
      <c r="AP38" s="25">
        <v>0</v>
      </c>
      <c r="AQ38" s="25">
        <v>0</v>
      </c>
      <c r="AR38" s="25"/>
      <c r="AS38" s="26">
        <v>0</v>
      </c>
      <c r="AT38" s="30">
        <f t="shared" si="2"/>
        <v>0</v>
      </c>
      <c r="AU38" s="8">
        <f t="shared" si="1"/>
        <v>0</v>
      </c>
    </row>
    <row r="39" spans="1:48" x14ac:dyDescent="0.2">
      <c r="A39" s="76" t="s">
        <v>105</v>
      </c>
      <c r="B39" s="25">
        <v>2476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/>
      <c r="I39" s="25">
        <v>0</v>
      </c>
      <c r="J39" s="25">
        <v>1768</v>
      </c>
      <c r="K39" s="25">
        <v>0</v>
      </c>
      <c r="L39" s="25">
        <v>0</v>
      </c>
      <c r="M39" s="25">
        <v>0</v>
      </c>
      <c r="N39" s="25">
        <v>0</v>
      </c>
      <c r="O39" s="25"/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/>
      <c r="X39" s="25"/>
      <c r="Y39" s="25"/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/>
      <c r="AH39" s="25">
        <v>0</v>
      </c>
      <c r="AI39" s="25">
        <v>0</v>
      </c>
      <c r="AJ39" s="25"/>
      <c r="AK39" s="25">
        <v>0</v>
      </c>
      <c r="AL39" s="25"/>
      <c r="AM39" s="25">
        <v>0</v>
      </c>
      <c r="AN39" s="25"/>
      <c r="AO39" s="25">
        <v>0</v>
      </c>
      <c r="AP39" s="25">
        <v>0</v>
      </c>
      <c r="AQ39" s="25">
        <v>0</v>
      </c>
      <c r="AR39" s="25"/>
      <c r="AS39" s="26">
        <v>0</v>
      </c>
      <c r="AT39" s="30">
        <f t="shared" si="2"/>
        <v>4244</v>
      </c>
      <c r="AU39" s="8">
        <f t="shared" si="1"/>
        <v>1.4880553700774945E-3</v>
      </c>
    </row>
    <row r="40" spans="1:48" x14ac:dyDescent="0.2">
      <c r="A40" s="1" t="s">
        <v>62</v>
      </c>
      <c r="B40" s="25">
        <v>0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/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/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/>
      <c r="X40" s="25"/>
      <c r="Y40" s="25"/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/>
      <c r="AH40" s="25">
        <v>0</v>
      </c>
      <c r="AI40" s="25">
        <v>0</v>
      </c>
      <c r="AJ40" s="25"/>
      <c r="AK40" s="25">
        <v>0</v>
      </c>
      <c r="AL40" s="25"/>
      <c r="AM40" s="25">
        <v>0</v>
      </c>
      <c r="AN40" s="25"/>
      <c r="AO40" s="25">
        <v>0</v>
      </c>
      <c r="AP40" s="25">
        <v>0</v>
      </c>
      <c r="AQ40" s="25">
        <v>0</v>
      </c>
      <c r="AR40" s="25"/>
      <c r="AS40" s="26">
        <v>565000</v>
      </c>
      <c r="AT40" s="30">
        <f t="shared" si="2"/>
        <v>565000</v>
      </c>
      <c r="AU40" s="8">
        <f t="shared" si="1"/>
        <v>0.19810350709090113</v>
      </c>
      <c r="AV40" s="1" t="s">
        <v>68</v>
      </c>
    </row>
    <row r="41" spans="1:48" x14ac:dyDescent="0.2">
      <c r="A41" s="1" t="s">
        <v>63</v>
      </c>
      <c r="B41" s="25">
        <v>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/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/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/>
      <c r="X41" s="25"/>
      <c r="Y41" s="25"/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/>
      <c r="AH41" s="25">
        <v>0</v>
      </c>
      <c r="AI41" s="25">
        <v>0</v>
      </c>
      <c r="AJ41" s="25"/>
      <c r="AK41" s="25">
        <v>0</v>
      </c>
      <c r="AL41" s="25"/>
      <c r="AM41" s="25">
        <v>0</v>
      </c>
      <c r="AN41" s="25"/>
      <c r="AO41" s="25">
        <v>0</v>
      </c>
      <c r="AP41" s="25">
        <v>0</v>
      </c>
      <c r="AQ41" s="25">
        <v>0</v>
      </c>
      <c r="AR41" s="25"/>
      <c r="AS41" s="26">
        <v>181.17</v>
      </c>
      <c r="AT41" s="30">
        <f t="shared" si="2"/>
        <v>181.17</v>
      </c>
      <c r="AU41" s="8">
        <f t="shared" si="1"/>
        <v>6.3522853769307184E-5</v>
      </c>
    </row>
    <row r="42" spans="1:48" x14ac:dyDescent="0.2">
      <c r="A42" s="1" t="s">
        <v>81</v>
      </c>
      <c r="B42" s="25">
        <v>0</v>
      </c>
      <c r="C42" s="25">
        <v>152.26</v>
      </c>
      <c r="D42" s="25">
        <v>0</v>
      </c>
      <c r="E42" s="25">
        <v>183.21999999999997</v>
      </c>
      <c r="F42" s="25">
        <v>0</v>
      </c>
      <c r="G42" s="25">
        <v>177.15999999999997</v>
      </c>
      <c r="H42" s="25"/>
      <c r="I42" s="25">
        <v>42.59</v>
      </c>
      <c r="J42" s="25">
        <v>111.80999999999997</v>
      </c>
      <c r="K42" s="25">
        <v>0</v>
      </c>
      <c r="L42" s="25">
        <v>25.97999999999999</v>
      </c>
      <c r="M42" s="25">
        <v>131.26999999999998</v>
      </c>
      <c r="N42" s="25">
        <v>0</v>
      </c>
      <c r="O42" s="25"/>
      <c r="P42" s="25">
        <v>0</v>
      </c>
      <c r="Q42" s="25">
        <v>138.97999999999999</v>
      </c>
      <c r="R42" s="25">
        <v>79.31</v>
      </c>
      <c r="S42" s="25">
        <v>68.56</v>
      </c>
      <c r="T42" s="25">
        <v>105.28999999999996</v>
      </c>
      <c r="U42" s="25">
        <v>0</v>
      </c>
      <c r="V42" s="25">
        <v>0</v>
      </c>
      <c r="W42" s="25"/>
      <c r="X42" s="25"/>
      <c r="Y42" s="25"/>
      <c r="Z42" s="25">
        <v>0</v>
      </c>
      <c r="AA42" s="25">
        <v>105.28999999999999</v>
      </c>
      <c r="AB42" s="25">
        <v>0</v>
      </c>
      <c r="AC42" s="25">
        <v>125.59000000000003</v>
      </c>
      <c r="AD42" s="25">
        <v>25.97999999999999</v>
      </c>
      <c r="AE42" s="25">
        <v>0</v>
      </c>
      <c r="AF42" s="25">
        <v>118.67999999999998</v>
      </c>
      <c r="AG42" s="25"/>
      <c r="AH42" s="25">
        <v>221.78000000000003</v>
      </c>
      <c r="AI42" s="25">
        <v>131.26999999999998</v>
      </c>
      <c r="AJ42" s="25"/>
      <c r="AK42" s="25">
        <v>94.539999999999992</v>
      </c>
      <c r="AL42" s="25"/>
      <c r="AM42" s="25">
        <v>0</v>
      </c>
      <c r="AN42" s="25"/>
      <c r="AO42" s="25">
        <v>102.85000000000002</v>
      </c>
      <c r="AP42" s="25">
        <v>79.31</v>
      </c>
      <c r="AQ42" s="25">
        <v>0</v>
      </c>
      <c r="AR42" s="25"/>
      <c r="AS42" s="26">
        <v>227.7</v>
      </c>
      <c r="AT42" s="30">
        <f t="shared" si="2"/>
        <v>2449.4199999999996</v>
      </c>
      <c r="AU42" s="8">
        <f t="shared" si="1"/>
        <v>8.5882954396211502E-4</v>
      </c>
    </row>
    <row r="43" spans="1:48" x14ac:dyDescent="0.2">
      <c r="A43" s="1" t="s">
        <v>64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/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/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/>
      <c r="X43" s="25"/>
      <c r="Y43" s="25"/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/>
      <c r="AH43" s="25">
        <v>30</v>
      </c>
      <c r="AI43" s="25">
        <v>0</v>
      </c>
      <c r="AJ43" s="25"/>
      <c r="AK43" s="25">
        <v>0</v>
      </c>
      <c r="AL43" s="25"/>
      <c r="AM43" s="25">
        <v>0</v>
      </c>
      <c r="AN43" s="25"/>
      <c r="AO43" s="25">
        <v>0</v>
      </c>
      <c r="AP43" s="25">
        <v>0</v>
      </c>
      <c r="AQ43" s="25">
        <v>0</v>
      </c>
      <c r="AR43" s="25"/>
      <c r="AS43" s="26">
        <v>21667.91</v>
      </c>
      <c r="AT43" s="30">
        <f t="shared" si="2"/>
        <v>21697.91</v>
      </c>
      <c r="AU43" s="8">
        <f t="shared" si="1"/>
        <v>7.6078443673322739E-3</v>
      </c>
    </row>
    <row r="44" spans="1:48" x14ac:dyDescent="0.2">
      <c r="A44" s="1" t="s">
        <v>66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/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/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40</v>
      </c>
      <c r="W44" s="25"/>
      <c r="X44" s="25"/>
      <c r="Y44" s="25"/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500</v>
      </c>
      <c r="AF44" s="25">
        <v>1600</v>
      </c>
      <c r="AG44" s="25"/>
      <c r="AH44" s="25">
        <v>0</v>
      </c>
      <c r="AI44" s="25">
        <v>0</v>
      </c>
      <c r="AJ44" s="25"/>
      <c r="AK44" s="25">
        <v>0</v>
      </c>
      <c r="AL44" s="25"/>
      <c r="AM44" s="25">
        <v>0</v>
      </c>
      <c r="AN44" s="25"/>
      <c r="AO44" s="25">
        <v>0</v>
      </c>
      <c r="AP44" s="25">
        <v>60</v>
      </c>
      <c r="AQ44" s="25">
        <v>87</v>
      </c>
      <c r="AR44" s="25"/>
      <c r="AS44" s="26">
        <v>1555.17</v>
      </c>
      <c r="AT44" s="30">
        <f t="shared" si="2"/>
        <v>3842.17</v>
      </c>
      <c r="AU44" s="8">
        <f t="shared" si="1"/>
        <v>1.3471634545830931E-3</v>
      </c>
    </row>
    <row r="45" spans="1:48" ht="12.75" thickBot="1" x14ac:dyDescent="0.25">
      <c r="A45" s="9" t="s">
        <v>67</v>
      </c>
      <c r="B45" s="27">
        <f>SUM(B15:B44)</f>
        <v>165510.39999999999</v>
      </c>
      <c r="C45" s="27">
        <f t="shared" ref="C45:AS45" si="3">SUM(C15:C44)</f>
        <v>501.48</v>
      </c>
      <c r="D45" s="27">
        <f t="shared" si="3"/>
        <v>39741.819999999992</v>
      </c>
      <c r="E45" s="27">
        <f t="shared" si="3"/>
        <v>62179.430000000008</v>
      </c>
      <c r="F45" s="27">
        <f t="shared" si="3"/>
        <v>166274.91999999998</v>
      </c>
      <c r="G45" s="27">
        <f t="shared" si="3"/>
        <v>41072.239999999991</v>
      </c>
      <c r="H45" s="27">
        <f t="shared" si="3"/>
        <v>0</v>
      </c>
      <c r="I45" s="27">
        <f t="shared" si="3"/>
        <v>254499.28</v>
      </c>
      <c r="J45" s="27">
        <f t="shared" si="3"/>
        <v>119317.22000000002</v>
      </c>
      <c r="K45" s="27">
        <f t="shared" si="3"/>
        <v>12182.890000000001</v>
      </c>
      <c r="L45" s="27">
        <f t="shared" si="3"/>
        <v>53524.52</v>
      </c>
      <c r="M45" s="27">
        <f t="shared" si="3"/>
        <v>30974.65</v>
      </c>
      <c r="N45" s="27">
        <f t="shared" si="3"/>
        <v>0</v>
      </c>
      <c r="O45" s="27">
        <f t="shared" si="3"/>
        <v>0</v>
      </c>
      <c r="P45" s="27">
        <f t="shared" si="3"/>
        <v>34820.950000000012</v>
      </c>
      <c r="Q45" s="27">
        <f t="shared" si="3"/>
        <v>12830.069999999998</v>
      </c>
      <c r="R45" s="27">
        <f t="shared" si="3"/>
        <v>57949.8</v>
      </c>
      <c r="S45" s="27">
        <f t="shared" si="3"/>
        <v>52040.69</v>
      </c>
      <c r="T45" s="27">
        <f t="shared" si="3"/>
        <v>16866.380000000005</v>
      </c>
      <c r="U45" s="27">
        <f t="shared" si="3"/>
        <v>35996.100000000006</v>
      </c>
      <c r="V45" s="27">
        <f t="shared" si="3"/>
        <v>28931.539999999997</v>
      </c>
      <c r="W45" s="27">
        <f t="shared" si="3"/>
        <v>0</v>
      </c>
      <c r="X45" s="27">
        <f t="shared" si="3"/>
        <v>0</v>
      </c>
      <c r="Y45" s="27">
        <f t="shared" si="3"/>
        <v>0</v>
      </c>
      <c r="Z45" s="27">
        <f t="shared" si="3"/>
        <v>23870.589999999997</v>
      </c>
      <c r="AA45" s="27">
        <f t="shared" si="3"/>
        <v>12136.909999999993</v>
      </c>
      <c r="AB45" s="27">
        <f t="shared" si="3"/>
        <v>15236.12</v>
      </c>
      <c r="AC45" s="27">
        <f t="shared" si="3"/>
        <v>57765.72</v>
      </c>
      <c r="AD45" s="27">
        <f t="shared" si="3"/>
        <v>24695.43</v>
      </c>
      <c r="AE45" s="27">
        <f t="shared" si="3"/>
        <v>13183.460000000001</v>
      </c>
      <c r="AF45" s="27">
        <f t="shared" si="3"/>
        <v>57026.400000000009</v>
      </c>
      <c r="AG45" s="27">
        <f t="shared" si="3"/>
        <v>0</v>
      </c>
      <c r="AH45" s="27">
        <f t="shared" si="3"/>
        <v>152388.18</v>
      </c>
      <c r="AI45" s="27">
        <f t="shared" si="3"/>
        <v>17790.480000000003</v>
      </c>
      <c r="AJ45" s="27">
        <f t="shared" si="3"/>
        <v>0</v>
      </c>
      <c r="AK45" s="27">
        <f t="shared" si="3"/>
        <v>39929.570000000007</v>
      </c>
      <c r="AL45" s="27">
        <f>SUM(AL15:AL44)</f>
        <v>0</v>
      </c>
      <c r="AM45" s="27">
        <f t="shared" ref="AM45:AQ45" si="4">SUM(AM15:AM44)</f>
        <v>36568.300000000003</v>
      </c>
      <c r="AN45" s="27">
        <f t="shared" si="4"/>
        <v>0</v>
      </c>
      <c r="AO45" s="27">
        <f t="shared" si="4"/>
        <v>13096.820000000003</v>
      </c>
      <c r="AP45" s="27">
        <f t="shared" si="4"/>
        <v>135640.65000000002</v>
      </c>
      <c r="AQ45" s="27">
        <f t="shared" si="4"/>
        <v>15856.51</v>
      </c>
      <c r="AR45" s="27">
        <f t="shared" si="3"/>
        <v>0</v>
      </c>
      <c r="AS45" s="27">
        <f t="shared" si="3"/>
        <v>1051644.8899999999</v>
      </c>
      <c r="AT45" s="27">
        <f>SUM(AT15:AT44)</f>
        <v>2852044.41</v>
      </c>
      <c r="AU45" s="10">
        <f>SUM(AU15:AU44)</f>
        <v>1.0000000000000002</v>
      </c>
      <c r="AV45" s="11"/>
    </row>
    <row r="46" spans="1:48" ht="12.75" thickTop="1" x14ac:dyDescent="0.2">
      <c r="D46" s="1" t="s">
        <v>68</v>
      </c>
      <c r="E46" s="1" t="s">
        <v>68</v>
      </c>
      <c r="F46" s="1" t="s">
        <v>68</v>
      </c>
      <c r="G46" s="1" t="s">
        <v>68</v>
      </c>
      <c r="H46" s="1" t="s">
        <v>68</v>
      </c>
      <c r="I46" s="1" t="s">
        <v>68</v>
      </c>
      <c r="J46" s="1" t="s">
        <v>68</v>
      </c>
      <c r="K46" s="1" t="s">
        <v>68</v>
      </c>
      <c r="L46" s="1" t="s">
        <v>68</v>
      </c>
      <c r="M46" s="1" t="s">
        <v>68</v>
      </c>
      <c r="N46" s="1" t="s">
        <v>68</v>
      </c>
      <c r="O46" s="1" t="s">
        <v>68</v>
      </c>
      <c r="P46" s="1" t="s">
        <v>68</v>
      </c>
      <c r="Q46" s="1" t="s">
        <v>68</v>
      </c>
      <c r="R46" s="1" t="s">
        <v>68</v>
      </c>
      <c r="S46" s="1" t="s">
        <v>68</v>
      </c>
      <c r="AT46" s="3" t="s">
        <v>68</v>
      </c>
      <c r="AU46" s="23"/>
    </row>
    <row r="47" spans="1:48" ht="12.75" thickBot="1" x14ac:dyDescent="0.25">
      <c r="A47" s="9" t="s">
        <v>69</v>
      </c>
      <c r="B47" s="14">
        <f>+B13-B45</f>
        <v>147489.60000000001</v>
      </c>
      <c r="C47" s="14">
        <f t="shared" ref="C47:Z47" si="5">+C13-C45</f>
        <v>104998.52</v>
      </c>
      <c r="D47" s="14">
        <f t="shared" si="5"/>
        <v>17008.180000000008</v>
      </c>
      <c r="E47" s="14">
        <f t="shared" si="5"/>
        <v>26470.569999999992</v>
      </c>
      <c r="F47" s="14">
        <f t="shared" si="5"/>
        <v>106625.08000000002</v>
      </c>
      <c r="G47" s="14">
        <f>+G13-G45</f>
        <v>9871.3600000000079</v>
      </c>
      <c r="H47" s="14">
        <f t="shared" si="5"/>
        <v>0</v>
      </c>
      <c r="I47" s="14">
        <f t="shared" si="5"/>
        <v>210400.72</v>
      </c>
      <c r="J47" s="14">
        <f t="shared" si="5"/>
        <v>70791.159999999989</v>
      </c>
      <c r="K47" s="14">
        <f t="shared" si="5"/>
        <v>6817.1099999999988</v>
      </c>
      <c r="L47" s="14">
        <f t="shared" si="5"/>
        <v>34775.469999999965</v>
      </c>
      <c r="M47" s="14">
        <f t="shared" si="5"/>
        <v>44225.35</v>
      </c>
      <c r="N47" s="14">
        <f t="shared" si="5"/>
        <v>0</v>
      </c>
      <c r="O47" s="14">
        <f t="shared" si="5"/>
        <v>0</v>
      </c>
      <c r="P47" s="14">
        <f t="shared" si="5"/>
        <v>43429.049999999988</v>
      </c>
      <c r="Q47" s="14">
        <f t="shared" si="5"/>
        <v>11169.930000000002</v>
      </c>
      <c r="R47" s="14">
        <f t="shared" si="5"/>
        <v>39800.199999999997</v>
      </c>
      <c r="S47" s="14">
        <f t="shared" si="5"/>
        <v>46209.31</v>
      </c>
      <c r="T47" s="14">
        <f t="shared" si="5"/>
        <v>38883.619999999995</v>
      </c>
      <c r="U47" s="14">
        <f t="shared" si="5"/>
        <v>20253.899999999994</v>
      </c>
      <c r="V47" s="14">
        <f t="shared" si="5"/>
        <v>25068.460000000003</v>
      </c>
      <c r="W47" s="14">
        <f t="shared" si="5"/>
        <v>0</v>
      </c>
      <c r="X47" s="14">
        <f t="shared" si="5"/>
        <v>0</v>
      </c>
      <c r="Y47" s="14">
        <f>+Y13-Y45</f>
        <v>0</v>
      </c>
      <c r="Z47" s="14">
        <f t="shared" si="5"/>
        <v>12129.410000000003</v>
      </c>
      <c r="AA47" s="14">
        <f>+AA13-AA45</f>
        <v>25863.090000000007</v>
      </c>
      <c r="AB47" s="14">
        <f>+AB13-AB45</f>
        <v>-6881.269999999995</v>
      </c>
      <c r="AC47" s="14">
        <f>+AC13-AC45</f>
        <v>28734.28</v>
      </c>
      <c r="AD47" s="14">
        <f>+AD13-AD45</f>
        <v>13304.57</v>
      </c>
      <c r="AE47" s="14">
        <f t="shared" ref="AE47:AJ47" si="6">+AE13-AE45</f>
        <v>6316.5399999999991</v>
      </c>
      <c r="AF47" s="14">
        <f t="shared" si="6"/>
        <v>27473.599999999991</v>
      </c>
      <c r="AG47" s="14">
        <f t="shared" si="6"/>
        <v>0</v>
      </c>
      <c r="AH47" s="14">
        <f t="shared" si="6"/>
        <v>100111.82</v>
      </c>
      <c r="AI47" s="14">
        <f t="shared" si="6"/>
        <v>37959.519999999997</v>
      </c>
      <c r="AJ47" s="14">
        <f t="shared" si="6"/>
        <v>0</v>
      </c>
      <c r="AK47" s="14">
        <f>+AK13-AK45</f>
        <v>17270.429999999993</v>
      </c>
      <c r="AL47" s="14">
        <f>+AL13-AL45</f>
        <v>0</v>
      </c>
      <c r="AM47" s="14">
        <f t="shared" ref="AM47:AQ47" si="7">+AM13-AM45</f>
        <v>24931.699999999997</v>
      </c>
      <c r="AN47" s="14">
        <f t="shared" si="7"/>
        <v>0</v>
      </c>
      <c r="AO47" s="14">
        <f t="shared" si="7"/>
        <v>5403.1799999999967</v>
      </c>
      <c r="AP47" s="14">
        <f t="shared" si="7"/>
        <v>94959.350000000035</v>
      </c>
      <c r="AQ47" s="14">
        <f t="shared" si="7"/>
        <v>2843.49</v>
      </c>
      <c r="AR47" s="14">
        <f t="shared" ref="AR47:AS47" si="8">+AR13-AR45</f>
        <v>0</v>
      </c>
      <c r="AS47" s="14">
        <f t="shared" si="8"/>
        <v>-1051644.8899999999</v>
      </c>
      <c r="AT47" s="14">
        <f>SUM(B47:AS47)</f>
        <v>343062.41000000015</v>
      </c>
      <c r="AU47" s="15"/>
      <c r="AV47" s="11"/>
    </row>
    <row r="48" spans="1:48" ht="12.75" thickTop="1" x14ac:dyDescent="0.2">
      <c r="AT48" s="31"/>
    </row>
    <row r="49" spans="1:49" s="2" customFormat="1" x14ac:dyDescent="0.2">
      <c r="A49" s="2" t="s">
        <v>70</v>
      </c>
      <c r="B49" s="2">
        <f>50905+9600</f>
        <v>60505</v>
      </c>
      <c r="C49" s="2">
        <f>22400+16500+1200</f>
        <v>40100</v>
      </c>
      <c r="D49" s="2">
        <f>4610+2100</f>
        <v>6710</v>
      </c>
      <c r="E49" s="2">
        <v>2450</v>
      </c>
      <c r="F49" s="2">
        <f>38675+2400</f>
        <v>41075</v>
      </c>
      <c r="G49" s="2">
        <v>800</v>
      </c>
      <c r="I49" s="2">
        <f>83610+7800</f>
        <v>91410</v>
      </c>
      <c r="J49" s="2">
        <f>29366.88+10200</f>
        <v>39566.880000000005</v>
      </c>
      <c r="K49" s="2">
        <v>300</v>
      </c>
      <c r="L49" s="2">
        <f>7050+6000</f>
        <v>13050</v>
      </c>
      <c r="M49" s="2">
        <v>10600</v>
      </c>
      <c r="N49" s="2">
        <v>350</v>
      </c>
      <c r="P49" s="2">
        <f>14700+6000</f>
        <v>20700</v>
      </c>
      <c r="Q49" s="2">
        <v>2450</v>
      </c>
      <c r="R49" s="2">
        <f>7350+1500</f>
        <v>8850</v>
      </c>
      <c r="S49" s="2">
        <f>15800+1200</f>
        <v>17000</v>
      </c>
      <c r="T49" s="2">
        <f>14700+4800</f>
        <v>19500</v>
      </c>
      <c r="U49" s="2">
        <f>4200+300</f>
        <v>4500</v>
      </c>
      <c r="V49" s="2">
        <f>6300+3300</f>
        <v>9600</v>
      </c>
      <c r="AA49" s="2">
        <f>5180+2400</f>
        <v>7580</v>
      </c>
      <c r="AB49" s="2">
        <v>3500</v>
      </c>
      <c r="AC49" s="2">
        <f>7140+900</f>
        <v>8040</v>
      </c>
      <c r="AD49" s="2">
        <v>2250</v>
      </c>
      <c r="AF49" s="2">
        <f>7683.33+8700</f>
        <v>16383.33</v>
      </c>
      <c r="AH49" s="2">
        <f>37865+12300</f>
        <v>50165</v>
      </c>
      <c r="AI49" s="2">
        <f>9583.33+6900</f>
        <v>16483.330000000002</v>
      </c>
      <c r="AK49" s="2">
        <f>3683.33+300</f>
        <v>3983.33</v>
      </c>
      <c r="AM49" s="2">
        <f>5850+1800</f>
        <v>7650</v>
      </c>
      <c r="AO49" s="2">
        <v>750</v>
      </c>
      <c r="AP49" s="2">
        <f>41461.99+14400</f>
        <v>55861.99</v>
      </c>
      <c r="AQ49" s="2">
        <v>1950</v>
      </c>
      <c r="AS49" s="2">
        <v>13075</v>
      </c>
      <c r="AT49" s="29">
        <f>SUM(B49:AS49)</f>
        <v>577188.8600000001</v>
      </c>
    </row>
    <row r="50" spans="1:49" s="24" customFormat="1" x14ac:dyDescent="0.2">
      <c r="A50" s="16" t="s">
        <v>71</v>
      </c>
      <c r="B50" s="17">
        <f>+B47-B49</f>
        <v>86984.6</v>
      </c>
      <c r="C50" s="17">
        <f t="shared" ref="C50:AR50" si="9">+C47-C49</f>
        <v>64898.520000000004</v>
      </c>
      <c r="D50" s="17">
        <f t="shared" si="9"/>
        <v>10298.180000000008</v>
      </c>
      <c r="E50" s="17">
        <f t="shared" si="9"/>
        <v>24020.569999999992</v>
      </c>
      <c r="F50" s="17">
        <f t="shared" si="9"/>
        <v>65550.080000000016</v>
      </c>
      <c r="G50" s="17">
        <f t="shared" si="9"/>
        <v>9071.3600000000079</v>
      </c>
      <c r="H50" s="17">
        <f t="shared" si="9"/>
        <v>0</v>
      </c>
      <c r="I50" s="17">
        <f t="shared" si="9"/>
        <v>118990.72</v>
      </c>
      <c r="J50" s="17">
        <f t="shared" si="9"/>
        <v>31224.279999999984</v>
      </c>
      <c r="K50" s="17">
        <f t="shared" si="9"/>
        <v>6517.1099999999988</v>
      </c>
      <c r="L50" s="17">
        <f t="shared" si="9"/>
        <v>21725.469999999965</v>
      </c>
      <c r="M50" s="17">
        <f t="shared" si="9"/>
        <v>33625.35</v>
      </c>
      <c r="N50" s="17">
        <f t="shared" si="9"/>
        <v>-350</v>
      </c>
      <c r="O50" s="17">
        <f t="shared" si="9"/>
        <v>0</v>
      </c>
      <c r="P50" s="17">
        <f t="shared" si="9"/>
        <v>22729.049999999988</v>
      </c>
      <c r="Q50" s="17">
        <f t="shared" si="9"/>
        <v>8719.9300000000021</v>
      </c>
      <c r="R50" s="17">
        <f t="shared" si="9"/>
        <v>30950.199999999997</v>
      </c>
      <c r="S50" s="17">
        <f t="shared" si="9"/>
        <v>29209.309999999998</v>
      </c>
      <c r="T50" s="17">
        <f t="shared" si="9"/>
        <v>19383.619999999995</v>
      </c>
      <c r="U50" s="17">
        <f t="shared" si="9"/>
        <v>15753.899999999994</v>
      </c>
      <c r="V50" s="17">
        <f t="shared" si="9"/>
        <v>15468.460000000003</v>
      </c>
      <c r="W50" s="17">
        <f t="shared" si="9"/>
        <v>0</v>
      </c>
      <c r="X50" s="17">
        <f t="shared" si="9"/>
        <v>0</v>
      </c>
      <c r="Y50" s="17">
        <f t="shared" si="9"/>
        <v>0</v>
      </c>
      <c r="Z50" s="17">
        <f t="shared" si="9"/>
        <v>12129.410000000003</v>
      </c>
      <c r="AA50" s="17">
        <f t="shared" si="9"/>
        <v>18283.090000000007</v>
      </c>
      <c r="AB50" s="17">
        <f t="shared" si="9"/>
        <v>-10381.269999999995</v>
      </c>
      <c r="AC50" s="17">
        <f t="shared" si="9"/>
        <v>20694.28</v>
      </c>
      <c r="AD50" s="17">
        <f t="shared" si="9"/>
        <v>11054.57</v>
      </c>
      <c r="AE50" s="17">
        <f t="shared" si="9"/>
        <v>6316.5399999999991</v>
      </c>
      <c r="AF50" s="17">
        <f t="shared" si="9"/>
        <v>11090.269999999991</v>
      </c>
      <c r="AG50" s="17">
        <f t="shared" si="9"/>
        <v>0</v>
      </c>
      <c r="AH50" s="17">
        <f t="shared" si="9"/>
        <v>49946.820000000007</v>
      </c>
      <c r="AI50" s="17">
        <f t="shared" si="9"/>
        <v>21476.189999999995</v>
      </c>
      <c r="AJ50" s="17">
        <f t="shared" si="9"/>
        <v>0</v>
      </c>
      <c r="AK50" s="17">
        <f t="shared" si="9"/>
        <v>13287.099999999993</v>
      </c>
      <c r="AL50" s="17">
        <f t="shared" si="9"/>
        <v>0</v>
      </c>
      <c r="AM50" s="17">
        <f t="shared" si="9"/>
        <v>17281.699999999997</v>
      </c>
      <c r="AN50" s="17">
        <f t="shared" si="9"/>
        <v>0</v>
      </c>
      <c r="AO50" s="17">
        <f t="shared" si="9"/>
        <v>4653.1799999999967</v>
      </c>
      <c r="AP50" s="17">
        <f t="shared" si="9"/>
        <v>39097.360000000037</v>
      </c>
      <c r="AQ50" s="17">
        <f t="shared" si="9"/>
        <v>893.48999999999978</v>
      </c>
      <c r="AR50" s="17">
        <f t="shared" si="9"/>
        <v>0</v>
      </c>
      <c r="AS50" s="17">
        <f t="shared" ref="AS50" si="10">+AS47-AS49</f>
        <v>-1064719.8899999999</v>
      </c>
      <c r="AT50" s="38">
        <f>SUM(B50:AS50)-AT53-AT54-AT55+AT56</f>
        <v>144539.90054999996</v>
      </c>
      <c r="AU50" s="17"/>
      <c r="AV50" s="33"/>
      <c r="AW50" s="33"/>
    </row>
    <row r="51" spans="1:49" ht="12.75" x14ac:dyDescent="0.2">
      <c r="AT51" s="51">
        <v>144539.9</v>
      </c>
      <c r="AU51" s="3" t="s">
        <v>72</v>
      </c>
      <c r="AV51" s="1" t="s">
        <v>106</v>
      </c>
    </row>
    <row r="52" spans="1:49" s="2" customFormat="1" ht="12.75" x14ac:dyDescent="0.2">
      <c r="AT52" s="52">
        <f>+AT50-AT51</f>
        <v>5.499999679159373E-4</v>
      </c>
      <c r="AU52" s="48" t="s">
        <v>82</v>
      </c>
    </row>
    <row r="53" spans="1:49" s="2" customFormat="1" x14ac:dyDescent="0.2">
      <c r="A53" s="45" t="s">
        <v>78</v>
      </c>
      <c r="B53" s="45"/>
      <c r="C53" s="45"/>
      <c r="D53" s="45"/>
      <c r="E53" s="45">
        <f>+E50*8.5%</f>
        <v>2041.7484499999996</v>
      </c>
      <c r="F53" s="45"/>
      <c r="G53" s="45">
        <f>+G50*8.5%</f>
        <v>771.0656000000007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>
        <f>+V50*8.5%</f>
        <v>1314.8191000000004</v>
      </c>
      <c r="W53" s="45">
        <f>+W50*8.5%</f>
        <v>0</v>
      </c>
      <c r="X53" s="45"/>
      <c r="Y53" s="45">
        <f>+Y50*8.5%</f>
        <v>0</v>
      </c>
      <c r="Z53" s="45">
        <f>+Z50*8.5%</f>
        <v>1030.9998500000004</v>
      </c>
      <c r="AA53" s="45">
        <f>+AA50*8.5%</f>
        <v>1554.0626500000008</v>
      </c>
      <c r="AB53" s="45"/>
      <c r="AC53" s="45">
        <f>(AC50-AC54)*8.5%</f>
        <v>1546.5137999999999</v>
      </c>
      <c r="AD53" s="45"/>
      <c r="AE53" s="45"/>
      <c r="AF53" s="45"/>
      <c r="AG53" s="45"/>
      <c r="AH53" s="45"/>
      <c r="AI53" s="45"/>
      <c r="AJ53" s="45"/>
      <c r="AK53" s="45"/>
      <c r="AL53" s="45">
        <f>+AL50*8.5%</f>
        <v>0</v>
      </c>
      <c r="AM53" s="45"/>
      <c r="AN53" s="45"/>
      <c r="AO53" s="45"/>
      <c r="AP53" s="45"/>
      <c r="AQ53" s="45"/>
      <c r="AR53" s="45"/>
      <c r="AS53" s="45"/>
      <c r="AT53" s="46">
        <f>SUM(B53:AS53)</f>
        <v>8259.2094500000021</v>
      </c>
      <c r="AU53" s="23"/>
    </row>
    <row r="54" spans="1:49" s="2" customFormat="1" x14ac:dyDescent="0.2">
      <c r="A54" s="45" t="s">
        <v>84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>
        <v>2500</v>
      </c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>
        <v>22814.44</v>
      </c>
      <c r="AT54" s="46">
        <f t="shared" ref="AT54:AT56" si="11">SUM(B54:AS54)</f>
        <v>25314.44</v>
      </c>
      <c r="AU54" s="23"/>
    </row>
    <row r="55" spans="1:49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50">
        <f>161660+25000</f>
        <v>186660</v>
      </c>
      <c r="AT55" s="46">
        <f t="shared" si="11"/>
        <v>186660</v>
      </c>
    </row>
    <row r="56" spans="1:49" x14ac:dyDescent="0.2">
      <c r="A56" s="49" t="s">
        <v>86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>
        <v>598900</v>
      </c>
      <c r="AT56" s="46">
        <f t="shared" si="11"/>
        <v>598900</v>
      </c>
    </row>
    <row r="58" spans="1:49" ht="12.75" x14ac:dyDescent="0.2">
      <c r="A58" s="57" t="s">
        <v>92</v>
      </c>
      <c r="B58" s="57">
        <v>15</v>
      </c>
      <c r="C58" s="57">
        <v>6</v>
      </c>
      <c r="D58" s="57">
        <v>3</v>
      </c>
      <c r="E58" s="57">
        <v>5</v>
      </c>
      <c r="F58" s="57">
        <v>14</v>
      </c>
      <c r="G58" s="57">
        <v>3</v>
      </c>
      <c r="H58" s="57"/>
      <c r="I58" s="57">
        <v>24</v>
      </c>
      <c r="J58" s="57">
        <v>11</v>
      </c>
      <c r="K58" s="57">
        <v>1</v>
      </c>
      <c r="L58" s="57">
        <v>5</v>
      </c>
      <c r="M58" s="57">
        <v>3</v>
      </c>
      <c r="N58" s="57"/>
      <c r="O58" s="57"/>
      <c r="P58" s="57">
        <v>4</v>
      </c>
      <c r="Q58" s="57">
        <v>1</v>
      </c>
      <c r="R58" s="57">
        <v>5</v>
      </c>
      <c r="S58" s="57">
        <v>5</v>
      </c>
      <c r="T58" s="57">
        <v>3</v>
      </c>
      <c r="U58" s="57">
        <v>3</v>
      </c>
      <c r="V58" s="57">
        <v>3</v>
      </c>
      <c r="W58" s="57"/>
      <c r="X58" s="57"/>
      <c r="Y58" s="57"/>
      <c r="Z58" s="57">
        <v>2</v>
      </c>
      <c r="AA58" s="57">
        <v>2</v>
      </c>
      <c r="AB58" s="57">
        <v>2</v>
      </c>
      <c r="AC58" s="57">
        <v>5</v>
      </c>
      <c r="AD58" s="57">
        <v>2</v>
      </c>
      <c r="AE58" s="57">
        <v>1</v>
      </c>
      <c r="AF58" s="57">
        <v>5</v>
      </c>
      <c r="AG58" s="57"/>
      <c r="AH58" s="57">
        <v>13</v>
      </c>
      <c r="AI58" s="57">
        <v>3</v>
      </c>
      <c r="AJ58" s="57"/>
      <c r="AK58" s="57">
        <v>3</v>
      </c>
      <c r="AL58" s="57"/>
      <c r="AM58" s="57">
        <v>3</v>
      </c>
      <c r="AN58" s="57"/>
      <c r="AO58" s="57">
        <v>1</v>
      </c>
      <c r="AP58" s="57">
        <v>12</v>
      </c>
      <c r="AQ58" s="57">
        <v>1</v>
      </c>
      <c r="AR58" s="65">
        <f>SUM(A58:AQ58)</f>
        <v>169</v>
      </c>
      <c r="AS58" s="66" t="s">
        <v>103</v>
      </c>
      <c r="AT58" s="3"/>
    </row>
    <row r="59" spans="1:49" x14ac:dyDescent="0.2">
      <c r="A59" s="57" t="s">
        <v>91</v>
      </c>
      <c r="B59" s="58">
        <f>+B50/B58</f>
        <v>5798.9733333333334</v>
      </c>
      <c r="C59" s="58">
        <f t="shared" ref="C59:AQ59" si="12">+C50/C58</f>
        <v>10816.42</v>
      </c>
      <c r="D59" s="58">
        <f t="shared" si="12"/>
        <v>3432.7266666666692</v>
      </c>
      <c r="E59" s="58">
        <f t="shared" si="12"/>
        <v>4804.1139999999987</v>
      </c>
      <c r="F59" s="58">
        <f t="shared" si="12"/>
        <v>4682.1485714285727</v>
      </c>
      <c r="G59" s="58">
        <f t="shared" si="12"/>
        <v>3023.7866666666691</v>
      </c>
      <c r="H59" s="58"/>
      <c r="I59" s="58">
        <f t="shared" si="12"/>
        <v>4957.9466666666667</v>
      </c>
      <c r="J59" s="58">
        <f t="shared" si="12"/>
        <v>2838.5709090909077</v>
      </c>
      <c r="K59" s="58">
        <f t="shared" si="12"/>
        <v>6517.1099999999988</v>
      </c>
      <c r="L59" s="58">
        <f t="shared" si="12"/>
        <v>4345.0939999999928</v>
      </c>
      <c r="M59" s="58">
        <f>(M50-M9)/M58</f>
        <v>4008.4499999999994</v>
      </c>
      <c r="N59" s="58" t="e">
        <f t="shared" si="12"/>
        <v>#DIV/0!</v>
      </c>
      <c r="O59" s="58"/>
      <c r="P59" s="58">
        <f t="shared" si="12"/>
        <v>5682.2624999999971</v>
      </c>
      <c r="Q59" s="58">
        <f t="shared" si="12"/>
        <v>8719.9300000000021</v>
      </c>
      <c r="R59" s="58">
        <f t="shared" si="12"/>
        <v>6190.0399999999991</v>
      </c>
      <c r="S59" s="58">
        <f t="shared" si="12"/>
        <v>5841.8619999999992</v>
      </c>
      <c r="T59" s="58">
        <f t="shared" si="12"/>
        <v>6461.2066666666651</v>
      </c>
      <c r="U59" s="58">
        <f t="shared" si="12"/>
        <v>5251.2999999999984</v>
      </c>
      <c r="V59" s="58">
        <f t="shared" si="12"/>
        <v>5156.1533333333346</v>
      </c>
      <c r="W59" s="58"/>
      <c r="X59" s="58"/>
      <c r="Y59" s="58"/>
      <c r="Z59" s="58">
        <f t="shared" si="12"/>
        <v>6064.7050000000017</v>
      </c>
      <c r="AA59" s="58">
        <f t="shared" si="12"/>
        <v>9141.5450000000037</v>
      </c>
      <c r="AB59" s="58">
        <f t="shared" si="12"/>
        <v>-5190.6349999999975</v>
      </c>
      <c r="AC59" s="58">
        <f>(AC50-AC54)/AC58</f>
        <v>3638.8559999999998</v>
      </c>
      <c r="AD59" s="58">
        <f t="shared" si="12"/>
        <v>5527.2849999999999</v>
      </c>
      <c r="AE59" s="58">
        <f t="shared" si="12"/>
        <v>6316.5399999999991</v>
      </c>
      <c r="AF59" s="58">
        <f t="shared" si="12"/>
        <v>2218.0539999999983</v>
      </c>
      <c r="AG59" s="58"/>
      <c r="AH59" s="58">
        <f t="shared" si="12"/>
        <v>3842.0630769230775</v>
      </c>
      <c r="AI59" s="58">
        <f t="shared" si="12"/>
        <v>7158.7299999999987</v>
      </c>
      <c r="AJ59" s="58"/>
      <c r="AK59" s="58">
        <f t="shared" si="12"/>
        <v>4429.033333333331</v>
      </c>
      <c r="AL59" s="58"/>
      <c r="AM59" s="58">
        <f t="shared" si="12"/>
        <v>5760.5666666666657</v>
      </c>
      <c r="AN59" s="58" t="e">
        <f t="shared" si="12"/>
        <v>#DIV/0!</v>
      </c>
      <c r="AO59" s="58">
        <f t="shared" si="12"/>
        <v>4653.1799999999967</v>
      </c>
      <c r="AP59" s="58">
        <f t="shared" si="12"/>
        <v>3258.1133333333364</v>
      </c>
      <c r="AQ59" s="58">
        <f t="shared" si="12"/>
        <v>893.48999999999978</v>
      </c>
      <c r="AT59" s="1"/>
    </row>
    <row r="60" spans="1:49" x14ac:dyDescent="0.2">
      <c r="N60" s="3"/>
      <c r="O60" s="3"/>
      <c r="P60" s="3"/>
      <c r="Q60" s="3"/>
      <c r="R60" s="3"/>
      <c r="S60" s="3"/>
      <c r="T60" s="3"/>
      <c r="U60" s="3"/>
      <c r="AT60" s="1"/>
    </row>
    <row r="61" spans="1:49" x14ac:dyDescent="0.2">
      <c r="N61" s="3"/>
      <c r="O61" s="3"/>
      <c r="P61" s="3"/>
      <c r="Q61" s="3"/>
      <c r="R61" s="3"/>
      <c r="S61" s="3"/>
      <c r="T61" s="3"/>
      <c r="U61" s="3"/>
      <c r="AT61" s="1"/>
    </row>
    <row r="62" spans="1:49" x14ac:dyDescent="0.2">
      <c r="N62" s="3"/>
      <c r="O62" s="3"/>
      <c r="P62" s="3"/>
      <c r="Q62" s="3"/>
      <c r="R62" s="3"/>
      <c r="S62" s="3"/>
      <c r="T62" s="3"/>
      <c r="U62" s="3"/>
      <c r="AT62" s="1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A904-DC03-448B-AF91-B4F450AC4F2C}">
  <sheetPr>
    <tabColor rgb="FF7030A0"/>
  </sheetPr>
  <dimension ref="A2:AV61"/>
  <sheetViews>
    <sheetView zoomScaleNormal="100" workbookViewId="0">
      <pane xSplit="1" ySplit="7" topLeftCell="AK41" activePane="bottomRight" state="frozen"/>
      <selection pane="topRight"/>
      <selection pane="bottomLeft"/>
      <selection pane="bottomRight" activeCell="AQ52" sqref="AQ52"/>
    </sheetView>
  </sheetViews>
  <sheetFormatPr baseColWidth="10" defaultColWidth="11.42578125" defaultRowHeight="12" x14ac:dyDescent="0.2"/>
  <cols>
    <col min="1" max="1" width="25.85546875" style="2" customWidth="1"/>
    <col min="2" max="7" width="11.42578125" style="2"/>
    <col min="8" max="8" width="11.42578125" style="2" customWidth="1"/>
    <col min="9" max="13" width="11.42578125" style="2"/>
    <col min="14" max="15" width="0" style="2" hidden="1" customWidth="1"/>
    <col min="16" max="22" width="11.42578125" style="2"/>
    <col min="23" max="25" width="0" style="2" hidden="1" customWidth="1"/>
    <col min="26" max="32" width="11.42578125" style="2"/>
    <col min="33" max="33" width="0" style="2" hidden="1" customWidth="1"/>
    <col min="34" max="35" width="11.42578125" style="2"/>
    <col min="36" max="36" width="0" style="2" hidden="1" customWidth="1"/>
    <col min="37" max="37" width="11.42578125" style="2"/>
    <col min="38" max="43" width="13.85546875" style="2" customWidth="1"/>
    <col min="44" max="44" width="11.42578125" style="2"/>
    <col min="45" max="45" width="12.85546875" style="2" customWidth="1"/>
    <col min="46" max="46" width="11.42578125" style="29"/>
    <col min="47" max="47" width="11.42578125" style="23"/>
    <col min="48" max="16384" width="11.42578125" style="2"/>
  </cols>
  <sheetData>
    <row r="2" spans="1:48" x14ac:dyDescent="0.2">
      <c r="A2" s="2" t="s">
        <v>80</v>
      </c>
    </row>
    <row r="3" spans="1:48" x14ac:dyDescent="0.2">
      <c r="A3" s="2" t="s">
        <v>0</v>
      </c>
    </row>
    <row r="6" spans="1:48" ht="24" x14ac:dyDescent="0.2">
      <c r="A6" s="35" t="s">
        <v>1</v>
      </c>
      <c r="B6" s="35" t="s">
        <v>2</v>
      </c>
      <c r="C6" s="35" t="s">
        <v>3</v>
      </c>
      <c r="D6" s="35" t="s">
        <v>97</v>
      </c>
      <c r="E6" s="35" t="s">
        <v>4</v>
      </c>
      <c r="F6" s="35" t="s">
        <v>5</v>
      </c>
      <c r="G6" s="35" t="s">
        <v>6</v>
      </c>
      <c r="H6" s="35" t="s">
        <v>104</v>
      </c>
      <c r="I6" s="35" t="s">
        <v>74</v>
      </c>
      <c r="J6" s="35" t="s">
        <v>7</v>
      </c>
      <c r="K6" s="35" t="s">
        <v>8</v>
      </c>
      <c r="L6" s="35" t="s">
        <v>9</v>
      </c>
      <c r="M6" s="35" t="s">
        <v>10</v>
      </c>
      <c r="N6" s="35"/>
      <c r="O6" s="35"/>
      <c r="P6" s="35" t="s">
        <v>13</v>
      </c>
      <c r="Q6" s="35" t="s">
        <v>14</v>
      </c>
      <c r="R6" s="35" t="s">
        <v>15</v>
      </c>
      <c r="S6" s="35" t="s">
        <v>16</v>
      </c>
      <c r="T6" s="35" t="s">
        <v>17</v>
      </c>
      <c r="U6" s="35" t="s">
        <v>18</v>
      </c>
      <c r="V6" s="36" t="s">
        <v>19</v>
      </c>
      <c r="W6" s="35"/>
      <c r="X6" s="35"/>
      <c r="Y6" s="35"/>
      <c r="Z6" s="35" t="s">
        <v>23</v>
      </c>
      <c r="AA6" s="35" t="s">
        <v>24</v>
      </c>
      <c r="AB6" s="35" t="s">
        <v>25</v>
      </c>
      <c r="AC6" s="35" t="s">
        <v>26</v>
      </c>
      <c r="AD6" s="35" t="s">
        <v>27</v>
      </c>
      <c r="AE6" s="35" t="s">
        <v>28</v>
      </c>
      <c r="AF6" s="35" t="s">
        <v>29</v>
      </c>
      <c r="AG6" s="41"/>
      <c r="AH6" s="35" t="s">
        <v>30</v>
      </c>
      <c r="AI6" s="35" t="s">
        <v>31</v>
      </c>
      <c r="AJ6" s="35"/>
      <c r="AK6" s="41" t="s">
        <v>75</v>
      </c>
      <c r="AL6" s="35"/>
      <c r="AM6" s="35" t="s">
        <v>83</v>
      </c>
      <c r="AN6" s="73" t="s">
        <v>107</v>
      </c>
      <c r="AO6" s="73" t="s">
        <v>99</v>
      </c>
      <c r="AP6" s="73" t="s">
        <v>100</v>
      </c>
      <c r="AQ6" s="35" t="s">
        <v>95</v>
      </c>
      <c r="AR6" s="36" t="s">
        <v>77</v>
      </c>
      <c r="AS6" s="36" t="s">
        <v>88</v>
      </c>
      <c r="AT6" s="35" t="s">
        <v>33</v>
      </c>
      <c r="AU6" s="22" t="s">
        <v>34</v>
      </c>
    </row>
    <row r="8" spans="1:48" x14ac:dyDescent="0.2">
      <c r="A8" s="2" t="s">
        <v>36</v>
      </c>
      <c r="B8" s="2">
        <v>313000</v>
      </c>
      <c r="C8" s="2">
        <v>105500</v>
      </c>
      <c r="D8" s="25">
        <v>56750</v>
      </c>
      <c r="E8" s="2">
        <v>88650</v>
      </c>
      <c r="F8" s="2">
        <v>272900</v>
      </c>
      <c r="G8" s="2">
        <v>50943.5</v>
      </c>
      <c r="H8" s="25"/>
      <c r="I8" s="2">
        <v>464900</v>
      </c>
      <c r="J8" s="2">
        <v>189513.5</v>
      </c>
      <c r="K8" s="2">
        <v>19000</v>
      </c>
      <c r="L8" s="2">
        <v>88299.990000000049</v>
      </c>
      <c r="M8" s="25">
        <v>53600</v>
      </c>
      <c r="P8" s="2">
        <v>39125</v>
      </c>
      <c r="Q8" s="2">
        <v>24000</v>
      </c>
      <c r="R8" s="2">
        <v>97750</v>
      </c>
      <c r="S8" s="2">
        <v>98250</v>
      </c>
      <c r="T8" s="2">
        <v>55750</v>
      </c>
      <c r="V8" s="2">
        <v>54000</v>
      </c>
      <c r="Z8" s="2">
        <v>36000</v>
      </c>
      <c r="AA8" s="2">
        <v>38000</v>
      </c>
      <c r="AC8" s="2">
        <v>86500</v>
      </c>
      <c r="AD8" s="2">
        <v>38000</v>
      </c>
      <c r="AE8" s="2">
        <v>19500</v>
      </c>
      <c r="AF8" s="2">
        <v>84500</v>
      </c>
      <c r="AH8" s="2">
        <v>252500</v>
      </c>
      <c r="AI8" s="2">
        <v>55750</v>
      </c>
      <c r="AK8" s="2">
        <v>57200</v>
      </c>
      <c r="AM8" s="2">
        <v>61500</v>
      </c>
      <c r="AO8" s="2">
        <v>18500</v>
      </c>
      <c r="AP8" s="2">
        <v>232000</v>
      </c>
      <c r="AQ8" s="2">
        <v>18700</v>
      </c>
      <c r="AR8" s="2">
        <v>2900</v>
      </c>
      <c r="AT8" s="29">
        <f>SUM(B8:AS8)</f>
        <v>3073481.99</v>
      </c>
      <c r="AU8" s="23">
        <v>1</v>
      </c>
      <c r="AV8" s="53"/>
    </row>
    <row r="9" spans="1:48" x14ac:dyDescent="0.2">
      <c r="A9" s="2" t="s">
        <v>94</v>
      </c>
      <c r="M9" s="25">
        <v>21600</v>
      </c>
      <c r="AT9" s="29">
        <f>SUM(B9:AS9)</f>
        <v>21600</v>
      </c>
      <c r="AU9" s="23">
        <v>0</v>
      </c>
    </row>
    <row r="10" spans="1:48" x14ac:dyDescent="0.2">
      <c r="M10" s="25"/>
      <c r="AT10" s="29">
        <f>SUM(B10:AS10)</f>
        <v>0</v>
      </c>
      <c r="AU10" s="23">
        <v>0</v>
      </c>
    </row>
    <row r="11" spans="1:48" x14ac:dyDescent="0.2">
      <c r="AT11" s="29">
        <f>SUM(B11:AS11)</f>
        <v>0</v>
      </c>
      <c r="AU11" s="23">
        <v>0</v>
      </c>
    </row>
    <row r="12" spans="1:48" x14ac:dyDescent="0.2">
      <c r="AT12" s="29">
        <f>SUM(B12:AS12)</f>
        <v>0</v>
      </c>
      <c r="AU12" s="23">
        <v>0</v>
      </c>
    </row>
    <row r="13" spans="1:48" ht="12.75" thickBot="1" x14ac:dyDescent="0.25">
      <c r="A13" s="14" t="s">
        <v>37</v>
      </c>
      <c r="B13" s="14">
        <f>SUM(B8:B12)</f>
        <v>313000</v>
      </c>
      <c r="C13" s="14">
        <f t="shared" ref="C13:AS13" si="0">SUM(C8:C12)</f>
        <v>105500</v>
      </c>
      <c r="D13" s="14">
        <f t="shared" si="0"/>
        <v>56750</v>
      </c>
      <c r="E13" s="14">
        <f t="shared" si="0"/>
        <v>88650</v>
      </c>
      <c r="F13" s="14">
        <f t="shared" si="0"/>
        <v>272900</v>
      </c>
      <c r="G13" s="14">
        <f t="shared" si="0"/>
        <v>50943.5</v>
      </c>
      <c r="H13" s="14">
        <f t="shared" si="0"/>
        <v>0</v>
      </c>
      <c r="I13" s="14">
        <f t="shared" si="0"/>
        <v>464900</v>
      </c>
      <c r="J13" s="14">
        <f t="shared" si="0"/>
        <v>189513.5</v>
      </c>
      <c r="K13" s="14">
        <f t="shared" si="0"/>
        <v>19000</v>
      </c>
      <c r="L13" s="14">
        <f t="shared" si="0"/>
        <v>88299.990000000049</v>
      </c>
      <c r="M13" s="14">
        <f t="shared" si="0"/>
        <v>75200</v>
      </c>
      <c r="N13" s="14">
        <f t="shared" si="0"/>
        <v>0</v>
      </c>
      <c r="O13" s="14">
        <f t="shared" si="0"/>
        <v>0</v>
      </c>
      <c r="P13" s="14">
        <f t="shared" si="0"/>
        <v>39125</v>
      </c>
      <c r="Q13" s="14">
        <f t="shared" si="0"/>
        <v>24000</v>
      </c>
      <c r="R13" s="14">
        <f t="shared" si="0"/>
        <v>97750</v>
      </c>
      <c r="S13" s="14">
        <f t="shared" si="0"/>
        <v>98250</v>
      </c>
      <c r="T13" s="14">
        <f t="shared" si="0"/>
        <v>55750</v>
      </c>
      <c r="U13" s="14">
        <f t="shared" si="0"/>
        <v>0</v>
      </c>
      <c r="V13" s="14">
        <f t="shared" si="0"/>
        <v>54000</v>
      </c>
      <c r="W13" s="14">
        <f t="shared" si="0"/>
        <v>0</v>
      </c>
      <c r="X13" s="14">
        <f t="shared" si="0"/>
        <v>0</v>
      </c>
      <c r="Y13" s="14">
        <f t="shared" si="0"/>
        <v>0</v>
      </c>
      <c r="Z13" s="14">
        <f t="shared" si="0"/>
        <v>36000</v>
      </c>
      <c r="AA13" s="14">
        <f t="shared" si="0"/>
        <v>38000</v>
      </c>
      <c r="AB13" s="14">
        <f t="shared" si="0"/>
        <v>0</v>
      </c>
      <c r="AC13" s="14">
        <f t="shared" si="0"/>
        <v>86500</v>
      </c>
      <c r="AD13" s="14">
        <f t="shared" si="0"/>
        <v>38000</v>
      </c>
      <c r="AE13" s="14">
        <f t="shared" si="0"/>
        <v>19500</v>
      </c>
      <c r="AF13" s="14">
        <f t="shared" si="0"/>
        <v>84500</v>
      </c>
      <c r="AG13" s="14">
        <f t="shared" si="0"/>
        <v>0</v>
      </c>
      <c r="AH13" s="14">
        <f t="shared" si="0"/>
        <v>252500</v>
      </c>
      <c r="AI13" s="14">
        <f t="shared" si="0"/>
        <v>55750</v>
      </c>
      <c r="AJ13" s="14">
        <f t="shared" si="0"/>
        <v>0</v>
      </c>
      <c r="AK13" s="14">
        <f t="shared" si="0"/>
        <v>57200</v>
      </c>
      <c r="AL13" s="14">
        <f t="shared" si="0"/>
        <v>0</v>
      </c>
      <c r="AM13" s="14">
        <f t="shared" si="0"/>
        <v>61500</v>
      </c>
      <c r="AN13" s="14">
        <f t="shared" si="0"/>
        <v>0</v>
      </c>
      <c r="AO13" s="14">
        <f t="shared" si="0"/>
        <v>18500</v>
      </c>
      <c r="AP13" s="14">
        <f t="shared" si="0"/>
        <v>232000</v>
      </c>
      <c r="AQ13" s="14">
        <f t="shared" si="0"/>
        <v>18700</v>
      </c>
      <c r="AR13" s="14">
        <f t="shared" si="0"/>
        <v>2900</v>
      </c>
      <c r="AS13" s="14">
        <f t="shared" si="0"/>
        <v>0</v>
      </c>
      <c r="AT13" s="14">
        <f>SUM(AT8:AT12)</f>
        <v>3095081.99</v>
      </c>
      <c r="AU13" s="10">
        <f>SUM(AU8:AU12)</f>
        <v>1</v>
      </c>
    </row>
    <row r="14" spans="1:48" ht="12.75" thickTop="1" x14ac:dyDescent="0.2"/>
    <row r="15" spans="1:48" x14ac:dyDescent="0.2">
      <c r="A15" s="2" t="s">
        <v>39</v>
      </c>
      <c r="B15" s="25">
        <v>136849.57</v>
      </c>
      <c r="C15" s="25">
        <v>0</v>
      </c>
      <c r="D15" s="25">
        <v>27210.29</v>
      </c>
      <c r="E15" s="25">
        <v>47135.560000000012</v>
      </c>
      <c r="F15" s="25">
        <v>121258.16000000003</v>
      </c>
      <c r="G15" s="25">
        <v>28596.320000000007</v>
      </c>
      <c r="H15" s="25"/>
      <c r="I15" s="25">
        <v>199001.83000000007</v>
      </c>
      <c r="J15" s="25">
        <v>79276.25</v>
      </c>
      <c r="K15" s="25">
        <v>8875</v>
      </c>
      <c r="L15" s="25">
        <v>35861.319999999992</v>
      </c>
      <c r="M15" s="25">
        <v>28272.839999999997</v>
      </c>
      <c r="N15" s="25"/>
      <c r="O15" s="25"/>
      <c r="P15" s="25">
        <v>21447.899999999994</v>
      </c>
      <c r="Q15" s="25">
        <v>8735</v>
      </c>
      <c r="R15" s="25">
        <v>42987.699999999983</v>
      </c>
      <c r="S15" s="25">
        <v>31886.059999999998</v>
      </c>
      <c r="T15" s="25">
        <v>22459.500000000007</v>
      </c>
      <c r="U15" s="25">
        <v>6671.4400000000023</v>
      </c>
      <c r="V15" s="25">
        <v>29003.03</v>
      </c>
      <c r="W15" s="25"/>
      <c r="X15" s="25"/>
      <c r="Y15" s="25"/>
      <c r="Z15" s="25">
        <v>16618</v>
      </c>
      <c r="AA15" s="25">
        <v>18737.840000000004</v>
      </c>
      <c r="AB15" s="25">
        <v>0</v>
      </c>
      <c r="AC15" s="25">
        <v>34915.440000000002</v>
      </c>
      <c r="AD15" s="25">
        <v>14018.18</v>
      </c>
      <c r="AE15" s="25">
        <v>8875</v>
      </c>
      <c r="AF15" s="25">
        <v>28935.619999999995</v>
      </c>
      <c r="AG15" s="25"/>
      <c r="AH15" s="25">
        <v>109586.90999999997</v>
      </c>
      <c r="AI15" s="25">
        <v>8875</v>
      </c>
      <c r="AJ15" s="25"/>
      <c r="AK15" s="25">
        <v>28962.880000000005</v>
      </c>
      <c r="AL15" s="25"/>
      <c r="AM15" s="25">
        <v>24787</v>
      </c>
      <c r="AN15" s="25"/>
      <c r="AO15" s="25">
        <v>8805</v>
      </c>
      <c r="AP15" s="25">
        <v>69439.359999999986</v>
      </c>
      <c r="AQ15" s="25">
        <v>7025</v>
      </c>
      <c r="AR15" s="25"/>
      <c r="AS15" s="25">
        <v>301670.11</v>
      </c>
      <c r="AT15" s="30">
        <f t="shared" ref="AT15:AT44" si="1">SUM(B15:AS15)</f>
        <v>1556779.1099999999</v>
      </c>
      <c r="AU15" s="23">
        <v>0.76512851986354535</v>
      </c>
      <c r="AV15" s="2" t="s">
        <v>68</v>
      </c>
    </row>
    <row r="16" spans="1:48" x14ac:dyDescent="0.2">
      <c r="A16" s="2" t="s">
        <v>40</v>
      </c>
      <c r="B16" s="25">
        <v>16179.669999999998</v>
      </c>
      <c r="C16" s="25">
        <v>0</v>
      </c>
      <c r="D16" s="25">
        <v>2896.63</v>
      </c>
      <c r="E16" s="25">
        <v>5241.2699999999986</v>
      </c>
      <c r="F16" s="25">
        <v>13675.399999999994</v>
      </c>
      <c r="G16" s="25">
        <v>3183.3000000000011</v>
      </c>
      <c r="H16" s="25"/>
      <c r="I16" s="25">
        <v>23707.089999999997</v>
      </c>
      <c r="J16" s="25">
        <v>10369.839999999997</v>
      </c>
      <c r="K16" s="25">
        <v>1036.3300000000004</v>
      </c>
      <c r="L16" s="25">
        <v>3726.8999999999996</v>
      </c>
      <c r="M16" s="25">
        <v>3208.6400000000003</v>
      </c>
      <c r="N16" s="25"/>
      <c r="O16" s="25"/>
      <c r="P16" s="25">
        <v>1541.1100000000006</v>
      </c>
      <c r="Q16" s="25">
        <v>1074.8600000000001</v>
      </c>
      <c r="R16" s="25">
        <v>5345.1899999999987</v>
      </c>
      <c r="S16" s="25">
        <v>3761.6999999999989</v>
      </c>
      <c r="T16" s="25">
        <v>2151.6000000000004</v>
      </c>
      <c r="U16" s="25">
        <v>1648.7400000000007</v>
      </c>
      <c r="V16" s="25">
        <v>3179.2999999999993</v>
      </c>
      <c r="W16" s="25"/>
      <c r="X16" s="25"/>
      <c r="Y16" s="25"/>
      <c r="Z16" s="25">
        <v>2109.6800000000003</v>
      </c>
      <c r="AA16" s="25">
        <v>3750.8900000000003</v>
      </c>
      <c r="AB16" s="25">
        <v>0</v>
      </c>
      <c r="AC16" s="25">
        <v>4230.4799999999996</v>
      </c>
      <c r="AD16" s="25">
        <v>1546.5100000000002</v>
      </c>
      <c r="AE16" s="25">
        <v>1049.9399999999996</v>
      </c>
      <c r="AF16" s="25">
        <v>3280.3899999999994</v>
      </c>
      <c r="AG16" s="25"/>
      <c r="AH16" s="25">
        <v>11491.39</v>
      </c>
      <c r="AI16" s="25">
        <v>1060.3999999999996</v>
      </c>
      <c r="AJ16" s="25"/>
      <c r="AK16" s="25">
        <v>3152.5000000000009</v>
      </c>
      <c r="AL16" s="25"/>
      <c r="AM16" s="25">
        <v>3164.08</v>
      </c>
      <c r="AN16" s="25"/>
      <c r="AO16" s="25">
        <v>1045.3599999999997</v>
      </c>
      <c r="AP16" s="25">
        <v>8995.4700000000012</v>
      </c>
      <c r="AQ16" s="25">
        <v>1072.9399999999996</v>
      </c>
      <c r="AR16" s="25"/>
      <c r="AS16" s="25">
        <v>15575.45</v>
      </c>
      <c r="AT16" s="30">
        <f t="shared" si="1"/>
        <v>163453.04999999999</v>
      </c>
      <c r="AU16" s="23">
        <v>9.8733233939265794E-2</v>
      </c>
      <c r="AV16" s="2" t="s">
        <v>68</v>
      </c>
    </row>
    <row r="17" spans="1:48" x14ac:dyDescent="0.2">
      <c r="A17" s="2" t="s">
        <v>41</v>
      </c>
      <c r="B17" s="25">
        <v>14775.629999999997</v>
      </c>
      <c r="C17" s="25">
        <v>0</v>
      </c>
      <c r="D17" s="25">
        <v>2427.86</v>
      </c>
      <c r="E17" s="25">
        <v>3955.8199999999997</v>
      </c>
      <c r="F17" s="25">
        <v>9511.7300000000032</v>
      </c>
      <c r="G17" s="25">
        <v>2410.4300000000003</v>
      </c>
      <c r="H17" s="25"/>
      <c r="I17" s="25">
        <v>17228.120000000003</v>
      </c>
      <c r="J17" s="25">
        <v>7755.25</v>
      </c>
      <c r="K17" s="25">
        <v>765.04</v>
      </c>
      <c r="L17" s="25">
        <v>2905.8500000000004</v>
      </c>
      <c r="M17" s="25">
        <v>2101.6799999999994</v>
      </c>
      <c r="N17" s="25"/>
      <c r="O17" s="25"/>
      <c r="P17" s="25">
        <v>1449.0700000000006</v>
      </c>
      <c r="Q17" s="25">
        <v>836.88000000000011</v>
      </c>
      <c r="R17" s="25">
        <v>4045.3799999999992</v>
      </c>
      <c r="S17" s="25">
        <v>2479.33</v>
      </c>
      <c r="T17" s="25">
        <v>2192.34</v>
      </c>
      <c r="U17" s="25">
        <v>1351.5900000000001</v>
      </c>
      <c r="V17" s="25">
        <v>2212.41</v>
      </c>
      <c r="W17" s="25"/>
      <c r="X17" s="25"/>
      <c r="Y17" s="25"/>
      <c r="Z17" s="25">
        <v>1577.2099999999996</v>
      </c>
      <c r="AA17" s="25">
        <v>3628.61</v>
      </c>
      <c r="AB17" s="25">
        <v>195.96000000000004</v>
      </c>
      <c r="AC17" s="25">
        <v>2455.630000000001</v>
      </c>
      <c r="AD17" s="25">
        <v>1293.83</v>
      </c>
      <c r="AE17" s="25">
        <v>794.87000000000035</v>
      </c>
      <c r="AF17" s="25">
        <v>2982.33</v>
      </c>
      <c r="AG17" s="25"/>
      <c r="AH17" s="25">
        <v>7765.380000000001</v>
      </c>
      <c r="AI17" s="25">
        <v>309.91999999999962</v>
      </c>
      <c r="AJ17" s="25"/>
      <c r="AK17" s="25">
        <v>2368.33</v>
      </c>
      <c r="AL17" s="25"/>
      <c r="AM17" s="25">
        <v>2323.4700000000003</v>
      </c>
      <c r="AN17" s="25"/>
      <c r="AO17" s="25">
        <v>784.82999999999993</v>
      </c>
      <c r="AP17" s="25">
        <v>5154.880000000001</v>
      </c>
      <c r="AQ17" s="25">
        <v>775.84999999999991</v>
      </c>
      <c r="AR17" s="25"/>
      <c r="AS17" s="25">
        <v>15924.03</v>
      </c>
      <c r="AT17" s="30">
        <f t="shared" si="1"/>
        <v>126739.54000000004</v>
      </c>
      <c r="AU17" s="23">
        <v>5.591106383370574E-2</v>
      </c>
      <c r="AV17" s="2" t="s">
        <v>68</v>
      </c>
    </row>
    <row r="18" spans="1:48" x14ac:dyDescent="0.2">
      <c r="A18" s="2" t="s">
        <v>42</v>
      </c>
      <c r="B18" s="25">
        <v>8810.68</v>
      </c>
      <c r="C18" s="25">
        <v>0</v>
      </c>
      <c r="D18" s="25">
        <v>1439.67</v>
      </c>
      <c r="E18" s="25">
        <v>2345.7399999999989</v>
      </c>
      <c r="F18" s="25">
        <v>5664.7900000000009</v>
      </c>
      <c r="G18" s="25">
        <v>1429.3400000000001</v>
      </c>
      <c r="H18" s="25"/>
      <c r="I18" s="25">
        <v>10402.380000000005</v>
      </c>
      <c r="J18" s="25">
        <v>4598.739999999998</v>
      </c>
      <c r="K18" s="25">
        <v>453.66000000000008</v>
      </c>
      <c r="L18" s="25">
        <v>1860.6800000000003</v>
      </c>
      <c r="M18" s="25">
        <v>1230.5999999999999</v>
      </c>
      <c r="N18" s="25"/>
      <c r="O18" s="25"/>
      <c r="P18" s="25">
        <v>859.26000000000022</v>
      </c>
      <c r="Q18" s="25">
        <v>496.25</v>
      </c>
      <c r="R18" s="25">
        <v>2383.4299999999994</v>
      </c>
      <c r="S18" s="25">
        <v>1396.9700000000003</v>
      </c>
      <c r="T18" s="25">
        <v>1446.4599999999996</v>
      </c>
      <c r="U18" s="25">
        <v>801.46</v>
      </c>
      <c r="V18" s="25">
        <v>1296.3500000000004</v>
      </c>
      <c r="W18" s="25"/>
      <c r="X18" s="25"/>
      <c r="Y18" s="25"/>
      <c r="Z18" s="25">
        <v>935.26000000000022</v>
      </c>
      <c r="AA18" s="25">
        <v>2136.14</v>
      </c>
      <c r="AB18" s="25">
        <v>116.20000000000005</v>
      </c>
      <c r="AC18" s="25">
        <v>1456.12</v>
      </c>
      <c r="AD18" s="25">
        <v>945.55000000000018</v>
      </c>
      <c r="AE18" s="25">
        <v>471.04999999999995</v>
      </c>
      <c r="AF18" s="25">
        <v>1768.4799999999996</v>
      </c>
      <c r="AG18" s="25"/>
      <c r="AH18" s="25">
        <v>4604.7400000000016</v>
      </c>
      <c r="AI18" s="25">
        <v>183.77999999999997</v>
      </c>
      <c r="AJ18" s="25"/>
      <c r="AK18" s="25">
        <v>1404.37</v>
      </c>
      <c r="AL18" s="25"/>
      <c r="AM18" s="25">
        <v>1377.7800000000002</v>
      </c>
      <c r="AN18" s="25"/>
      <c r="AO18" s="25">
        <v>465.3900000000001</v>
      </c>
      <c r="AP18" s="25">
        <v>3056.75</v>
      </c>
      <c r="AQ18" s="25">
        <v>460.07000000000016</v>
      </c>
      <c r="AR18" s="25"/>
      <c r="AS18" s="25">
        <v>8980.2800000000007</v>
      </c>
      <c r="AT18" s="30">
        <f t="shared" si="1"/>
        <v>75278.420000000013</v>
      </c>
      <c r="AU18" s="23">
        <v>3.6887458338734309E-2</v>
      </c>
      <c r="AV18" s="2" t="s">
        <v>68</v>
      </c>
    </row>
    <row r="19" spans="1:48" x14ac:dyDescent="0.2">
      <c r="A19" s="2" t="s">
        <v>43</v>
      </c>
      <c r="B19" s="25">
        <v>5824.6799999999985</v>
      </c>
      <c r="C19" s="25">
        <v>0</v>
      </c>
      <c r="D19" s="25">
        <v>1158.1399999999999</v>
      </c>
      <c r="E19" s="25">
        <v>2006.21</v>
      </c>
      <c r="F19" s="25">
        <v>5161.07</v>
      </c>
      <c r="G19" s="25">
        <v>1217.1299999999997</v>
      </c>
      <c r="H19" s="25"/>
      <c r="I19" s="25">
        <v>8470.0399999999972</v>
      </c>
      <c r="J19" s="25">
        <v>3374.2099999999991</v>
      </c>
      <c r="K19" s="25">
        <v>377.74</v>
      </c>
      <c r="L19" s="25">
        <v>1526.3499999999995</v>
      </c>
      <c r="M19" s="25">
        <v>1203.3699999999999</v>
      </c>
      <c r="N19" s="25"/>
      <c r="O19" s="25"/>
      <c r="P19" s="25">
        <v>912.88000000000011</v>
      </c>
      <c r="Q19" s="25">
        <v>371.78</v>
      </c>
      <c r="R19" s="25">
        <v>1829.67</v>
      </c>
      <c r="S19" s="25">
        <v>1357.1499999999996</v>
      </c>
      <c r="T19" s="25">
        <v>955.94</v>
      </c>
      <c r="U19" s="25">
        <v>283.94999999999982</v>
      </c>
      <c r="V19" s="25">
        <v>1234.4499999999998</v>
      </c>
      <c r="W19" s="25"/>
      <c r="X19" s="25"/>
      <c r="Y19" s="25"/>
      <c r="Z19" s="25">
        <v>707.31</v>
      </c>
      <c r="AA19" s="25">
        <v>797.53</v>
      </c>
      <c r="AB19" s="25">
        <v>0</v>
      </c>
      <c r="AC19" s="25">
        <v>1486.0899999999992</v>
      </c>
      <c r="AD19" s="25">
        <v>596.65000000000009</v>
      </c>
      <c r="AE19" s="25">
        <v>377.74</v>
      </c>
      <c r="AF19" s="25">
        <v>1231.58</v>
      </c>
      <c r="AG19" s="25"/>
      <c r="AH19" s="25">
        <v>4664.3100000000013</v>
      </c>
      <c r="AI19" s="25">
        <v>377.74</v>
      </c>
      <c r="AJ19" s="25"/>
      <c r="AK19" s="25">
        <v>1232.7400000000002</v>
      </c>
      <c r="AL19" s="25"/>
      <c r="AM19" s="25">
        <v>1055</v>
      </c>
      <c r="AN19" s="25"/>
      <c r="AO19" s="25">
        <v>374.76</v>
      </c>
      <c r="AP19" s="25">
        <v>2955.5200000000004</v>
      </c>
      <c r="AQ19" s="25">
        <v>298.99999999999989</v>
      </c>
      <c r="AR19" s="25"/>
      <c r="AS19" s="25">
        <v>8714.11</v>
      </c>
      <c r="AT19" s="30">
        <f t="shared" si="1"/>
        <v>62134.839999999982</v>
      </c>
      <c r="AU19" s="23">
        <v>2.2892764994063858E-2</v>
      </c>
    </row>
    <row r="20" spans="1:48" x14ac:dyDescent="0.2">
      <c r="A20" s="2" t="s">
        <v>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/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/>
      <c r="O20" s="25"/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/>
      <c r="X20" s="25"/>
      <c r="Y20" s="25"/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/>
      <c r="AH20" s="25">
        <v>0</v>
      </c>
      <c r="AI20" s="25">
        <v>0</v>
      </c>
      <c r="AJ20" s="25"/>
      <c r="AK20" s="25">
        <v>0</v>
      </c>
      <c r="AL20" s="25"/>
      <c r="AM20" s="25">
        <v>0</v>
      </c>
      <c r="AN20" s="25"/>
      <c r="AO20" s="25">
        <v>0</v>
      </c>
      <c r="AP20" s="25">
        <v>0</v>
      </c>
      <c r="AQ20" s="25">
        <v>0</v>
      </c>
      <c r="AR20" s="25"/>
      <c r="AS20" s="25">
        <v>1244</v>
      </c>
      <c r="AT20" s="30">
        <f t="shared" si="1"/>
        <v>1244</v>
      </c>
      <c r="AU20" s="23">
        <v>0</v>
      </c>
    </row>
    <row r="21" spans="1:48" x14ac:dyDescent="0.2">
      <c r="A21" s="2" t="s">
        <v>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/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/>
      <c r="O21" s="25"/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/>
      <c r="X21" s="25"/>
      <c r="Y21" s="25"/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/>
      <c r="AH21" s="25">
        <v>0</v>
      </c>
      <c r="AI21" s="25">
        <v>0</v>
      </c>
      <c r="AJ21" s="25"/>
      <c r="AK21" s="25">
        <v>0</v>
      </c>
      <c r="AL21" s="25"/>
      <c r="AM21" s="25">
        <v>0</v>
      </c>
      <c r="AN21" s="25"/>
      <c r="AO21" s="25">
        <v>0</v>
      </c>
      <c r="AP21" s="25">
        <v>0</v>
      </c>
      <c r="AQ21" s="25">
        <v>526</v>
      </c>
      <c r="AR21" s="25"/>
      <c r="AS21" s="25">
        <v>417</v>
      </c>
      <c r="AT21" s="30">
        <f t="shared" si="1"/>
        <v>943</v>
      </c>
      <c r="AU21" s="23">
        <v>0</v>
      </c>
    </row>
    <row r="22" spans="1:48" x14ac:dyDescent="0.2">
      <c r="A22" s="2" t="s">
        <v>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/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/>
      <c r="O22" s="25"/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/>
      <c r="X22" s="25"/>
      <c r="Y22" s="25"/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/>
      <c r="AH22" s="25">
        <v>0</v>
      </c>
      <c r="AI22" s="25">
        <v>0</v>
      </c>
      <c r="AJ22" s="25"/>
      <c r="AK22" s="25">
        <v>0</v>
      </c>
      <c r="AL22" s="25"/>
      <c r="AM22" s="25">
        <v>0</v>
      </c>
      <c r="AN22" s="25"/>
      <c r="AO22" s="25">
        <v>0</v>
      </c>
      <c r="AP22" s="25">
        <v>0</v>
      </c>
      <c r="AQ22" s="25">
        <v>0</v>
      </c>
      <c r="AR22" s="25"/>
      <c r="AS22" s="25">
        <v>0</v>
      </c>
      <c r="AT22" s="30">
        <f t="shared" si="1"/>
        <v>0</v>
      </c>
      <c r="AU22" s="23">
        <v>0</v>
      </c>
    </row>
    <row r="23" spans="1:48" x14ac:dyDescent="0.2">
      <c r="A23" s="2" t="s">
        <v>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/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/>
      <c r="O23" s="25"/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/>
      <c r="X23" s="25"/>
      <c r="Y23" s="25"/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/>
      <c r="AH23" s="25">
        <v>0</v>
      </c>
      <c r="AI23" s="25">
        <v>0</v>
      </c>
      <c r="AJ23" s="25"/>
      <c r="AK23" s="25">
        <v>0</v>
      </c>
      <c r="AL23" s="25"/>
      <c r="AM23" s="25">
        <v>0</v>
      </c>
      <c r="AN23" s="25"/>
      <c r="AO23" s="25">
        <v>0</v>
      </c>
      <c r="AP23" s="25">
        <v>0</v>
      </c>
      <c r="AQ23" s="25">
        <v>0</v>
      </c>
      <c r="AR23" s="25"/>
      <c r="AS23" s="25">
        <v>0</v>
      </c>
      <c r="AT23" s="30">
        <f t="shared" si="1"/>
        <v>0</v>
      </c>
      <c r="AU23" s="23">
        <v>0</v>
      </c>
    </row>
    <row r="24" spans="1:48" x14ac:dyDescent="0.2">
      <c r="A24" s="2" t="s">
        <v>48</v>
      </c>
      <c r="B24" s="25">
        <v>283.62</v>
      </c>
      <c r="C24" s="25">
        <v>283.62</v>
      </c>
      <c r="D24" s="25">
        <v>0</v>
      </c>
      <c r="E24" s="25">
        <v>283.62</v>
      </c>
      <c r="F24" s="25">
        <v>283.62</v>
      </c>
      <c r="G24" s="25">
        <v>283.62</v>
      </c>
      <c r="H24" s="25"/>
      <c r="I24" s="25">
        <v>283.62</v>
      </c>
      <c r="J24" s="25">
        <v>283.62</v>
      </c>
      <c r="K24" s="25">
        <v>0</v>
      </c>
      <c r="L24" s="25">
        <v>283.62</v>
      </c>
      <c r="M24" s="25">
        <v>283.62</v>
      </c>
      <c r="N24" s="25"/>
      <c r="O24" s="25"/>
      <c r="P24" s="25">
        <v>283.62</v>
      </c>
      <c r="Q24" s="25">
        <v>283.62</v>
      </c>
      <c r="R24" s="25">
        <v>567.24</v>
      </c>
      <c r="S24" s="25">
        <v>283.62</v>
      </c>
      <c r="T24" s="25">
        <v>283.62</v>
      </c>
      <c r="U24" s="25">
        <v>0</v>
      </c>
      <c r="V24" s="25">
        <v>283.62000000000012</v>
      </c>
      <c r="W24" s="25"/>
      <c r="X24" s="25"/>
      <c r="Y24" s="25"/>
      <c r="Z24" s="25">
        <v>283.62</v>
      </c>
      <c r="AA24" s="25">
        <v>283.62</v>
      </c>
      <c r="AB24" s="25">
        <v>0</v>
      </c>
      <c r="AC24" s="25">
        <v>283.62</v>
      </c>
      <c r="AD24" s="25">
        <v>283.62</v>
      </c>
      <c r="AE24" s="25">
        <v>283.62</v>
      </c>
      <c r="AF24" s="25">
        <v>567.24</v>
      </c>
      <c r="AG24" s="25"/>
      <c r="AH24" s="25">
        <v>283.62</v>
      </c>
      <c r="AI24" s="25">
        <v>283.62</v>
      </c>
      <c r="AJ24" s="25"/>
      <c r="AK24" s="25">
        <v>283.62</v>
      </c>
      <c r="AL24" s="25"/>
      <c r="AM24" s="25">
        <v>283.62</v>
      </c>
      <c r="AN24" s="25"/>
      <c r="AO24" s="25">
        <v>283.62</v>
      </c>
      <c r="AP24" s="25">
        <v>567.24</v>
      </c>
      <c r="AQ24" s="25">
        <v>283.62</v>
      </c>
      <c r="AR24" s="25"/>
      <c r="AS24" s="25">
        <f>4598.29+283.62</f>
        <v>4881.91</v>
      </c>
      <c r="AT24" s="30">
        <f t="shared" si="1"/>
        <v>13674.13</v>
      </c>
      <c r="AU24" s="23">
        <v>6.3818752440651183E-3</v>
      </c>
    </row>
    <row r="25" spans="1:48" x14ac:dyDescent="0.2">
      <c r="A25" s="2" t="s">
        <v>49</v>
      </c>
      <c r="B25" s="25">
        <v>442.63</v>
      </c>
      <c r="C25" s="25">
        <v>85.339999999999918</v>
      </c>
      <c r="D25" s="25">
        <v>0</v>
      </c>
      <c r="E25" s="25">
        <v>65.690000000000055</v>
      </c>
      <c r="F25" s="25">
        <v>259.21999999999991</v>
      </c>
      <c r="G25" s="25">
        <v>56.449999999999989</v>
      </c>
      <c r="H25" s="25"/>
      <c r="I25" s="25">
        <v>365.05000000000007</v>
      </c>
      <c r="J25" s="25">
        <v>248.88</v>
      </c>
      <c r="K25" s="25">
        <v>120.78999999999999</v>
      </c>
      <c r="L25" s="25">
        <v>154.27999999999997</v>
      </c>
      <c r="M25" s="25">
        <v>64.019999999999982</v>
      </c>
      <c r="N25" s="25"/>
      <c r="O25" s="25"/>
      <c r="P25" s="25">
        <v>0</v>
      </c>
      <c r="Q25" s="25">
        <v>67.740000000000009</v>
      </c>
      <c r="R25" s="25">
        <v>0</v>
      </c>
      <c r="S25" s="25">
        <v>192.20000000000005</v>
      </c>
      <c r="T25" s="25">
        <v>67.740000000000009</v>
      </c>
      <c r="U25" s="25">
        <v>0</v>
      </c>
      <c r="V25" s="25">
        <v>0</v>
      </c>
      <c r="W25" s="25"/>
      <c r="X25" s="25"/>
      <c r="Y25" s="25"/>
      <c r="Z25" s="25">
        <v>43.28</v>
      </c>
      <c r="AA25" s="25">
        <v>300.57999999999993</v>
      </c>
      <c r="AB25" s="25">
        <v>0</v>
      </c>
      <c r="AC25" s="25">
        <v>67.740000000000009</v>
      </c>
      <c r="AD25" s="25">
        <v>17.599999999999994</v>
      </c>
      <c r="AE25" s="25">
        <v>0</v>
      </c>
      <c r="AF25" s="25">
        <v>149.84000000000003</v>
      </c>
      <c r="AG25" s="25"/>
      <c r="AH25" s="25">
        <v>67.740000000000009</v>
      </c>
      <c r="AI25" s="25">
        <v>90.199999999999932</v>
      </c>
      <c r="AJ25" s="25"/>
      <c r="AK25" s="25">
        <v>0</v>
      </c>
      <c r="AL25" s="25"/>
      <c r="AM25" s="25">
        <v>0</v>
      </c>
      <c r="AN25" s="25"/>
      <c r="AO25" s="25">
        <v>101.78</v>
      </c>
      <c r="AP25" s="25">
        <v>190.95999999999992</v>
      </c>
      <c r="AQ25" s="25">
        <v>0</v>
      </c>
      <c r="AR25" s="25"/>
      <c r="AS25" s="25">
        <v>3876.58</v>
      </c>
      <c r="AT25" s="30">
        <f t="shared" si="1"/>
        <v>7096.33</v>
      </c>
      <c r="AU25" s="23">
        <v>2.9737399101330666E-3</v>
      </c>
    </row>
    <row r="26" spans="1:48" x14ac:dyDescent="0.2">
      <c r="A26" s="2" t="s">
        <v>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/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/>
      <c r="O26" s="25"/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/>
      <c r="X26" s="25"/>
      <c r="Y26" s="25"/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/>
      <c r="AH26" s="25">
        <v>0</v>
      </c>
      <c r="AI26" s="25">
        <v>0</v>
      </c>
      <c r="AJ26" s="25"/>
      <c r="AK26" s="25">
        <v>0</v>
      </c>
      <c r="AL26" s="25"/>
      <c r="AM26" s="25">
        <v>0</v>
      </c>
      <c r="AN26" s="25"/>
      <c r="AO26" s="25">
        <v>0</v>
      </c>
      <c r="AP26" s="25">
        <v>0</v>
      </c>
      <c r="AQ26" s="25">
        <v>0</v>
      </c>
      <c r="AR26" s="25"/>
      <c r="AS26" s="25">
        <v>44837.96</v>
      </c>
      <c r="AT26" s="30">
        <f t="shared" si="1"/>
        <v>44837.96</v>
      </c>
      <c r="AU26" s="23">
        <v>0</v>
      </c>
    </row>
    <row r="27" spans="1:48" x14ac:dyDescent="0.2">
      <c r="A27" s="2" t="s">
        <v>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/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/>
      <c r="O27" s="25"/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/>
      <c r="X27" s="25"/>
      <c r="Y27" s="25"/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/>
      <c r="AH27" s="25">
        <v>0</v>
      </c>
      <c r="AI27" s="25">
        <v>0</v>
      </c>
      <c r="AJ27" s="25"/>
      <c r="AK27" s="25">
        <v>0</v>
      </c>
      <c r="AL27" s="25"/>
      <c r="AM27" s="25">
        <v>0</v>
      </c>
      <c r="AN27" s="25"/>
      <c r="AO27" s="25">
        <v>0</v>
      </c>
      <c r="AP27" s="25">
        <v>0</v>
      </c>
      <c r="AQ27" s="25">
        <v>0</v>
      </c>
      <c r="AR27" s="25"/>
      <c r="AS27" s="25">
        <v>0</v>
      </c>
      <c r="AT27" s="30">
        <f t="shared" si="1"/>
        <v>0</v>
      </c>
      <c r="AU27" s="23">
        <v>0</v>
      </c>
    </row>
    <row r="28" spans="1:48" x14ac:dyDescent="0.2">
      <c r="A28" s="2" t="s">
        <v>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/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/>
      <c r="O28" s="25"/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/>
      <c r="X28" s="25"/>
      <c r="Y28" s="25"/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/>
      <c r="AH28" s="25">
        <v>0</v>
      </c>
      <c r="AI28" s="25">
        <v>0</v>
      </c>
      <c r="AJ28" s="25"/>
      <c r="AK28" s="25">
        <v>0</v>
      </c>
      <c r="AL28" s="25"/>
      <c r="AM28" s="25">
        <v>0</v>
      </c>
      <c r="AN28" s="25"/>
      <c r="AO28" s="25">
        <v>0</v>
      </c>
      <c r="AP28" s="25">
        <v>0</v>
      </c>
      <c r="AQ28" s="25">
        <v>0</v>
      </c>
      <c r="AR28" s="25"/>
      <c r="AS28" s="25">
        <v>2100</v>
      </c>
      <c r="AT28" s="30">
        <f t="shared" si="1"/>
        <v>2100</v>
      </c>
      <c r="AU28" s="23">
        <v>5.6546650437477603E-4</v>
      </c>
    </row>
    <row r="29" spans="1:48" x14ac:dyDescent="0.2">
      <c r="A29" s="2" t="s">
        <v>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/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/>
      <c r="O29" s="25"/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/>
      <c r="X29" s="25"/>
      <c r="Y29" s="25"/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/>
      <c r="AH29" s="25">
        <v>0</v>
      </c>
      <c r="AI29" s="25">
        <v>0</v>
      </c>
      <c r="AJ29" s="25"/>
      <c r="AK29" s="25">
        <v>0</v>
      </c>
      <c r="AL29" s="25"/>
      <c r="AM29" s="25">
        <v>0</v>
      </c>
      <c r="AN29" s="25"/>
      <c r="AO29" s="25">
        <v>0</v>
      </c>
      <c r="AP29" s="25">
        <v>0</v>
      </c>
      <c r="AQ29" s="25">
        <v>0</v>
      </c>
      <c r="AR29" s="25"/>
      <c r="AS29" s="25">
        <v>12722.53</v>
      </c>
      <c r="AT29" s="30">
        <f t="shared" si="1"/>
        <v>12722.53</v>
      </c>
      <c r="AU29" s="23">
        <v>0</v>
      </c>
    </row>
    <row r="30" spans="1:48" x14ac:dyDescent="0.2">
      <c r="A30" s="2" t="s">
        <v>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/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/>
      <c r="O30" s="25"/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/>
      <c r="X30" s="25"/>
      <c r="Y30" s="25"/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/>
      <c r="AH30" s="25">
        <v>0</v>
      </c>
      <c r="AI30" s="25">
        <v>0</v>
      </c>
      <c r="AJ30" s="25"/>
      <c r="AK30" s="25">
        <v>0</v>
      </c>
      <c r="AL30" s="25"/>
      <c r="AM30" s="25">
        <v>0</v>
      </c>
      <c r="AN30" s="25"/>
      <c r="AO30" s="25">
        <v>0</v>
      </c>
      <c r="AP30" s="25">
        <v>0</v>
      </c>
      <c r="AQ30" s="25">
        <v>0</v>
      </c>
      <c r="AR30" s="25"/>
      <c r="AS30" s="25">
        <v>0</v>
      </c>
      <c r="AT30" s="30">
        <f t="shared" si="1"/>
        <v>0</v>
      </c>
      <c r="AU30" s="23">
        <v>0</v>
      </c>
    </row>
    <row r="31" spans="1:48" x14ac:dyDescent="0.2">
      <c r="A31" s="2" t="s">
        <v>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/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/>
      <c r="O31" s="25"/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/>
      <c r="X31" s="25"/>
      <c r="Y31" s="25"/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/>
      <c r="AH31" s="25">
        <v>0</v>
      </c>
      <c r="AI31" s="25">
        <v>0</v>
      </c>
      <c r="AJ31" s="25"/>
      <c r="AK31" s="25">
        <v>0</v>
      </c>
      <c r="AL31" s="25"/>
      <c r="AM31" s="25">
        <v>0</v>
      </c>
      <c r="AN31" s="25"/>
      <c r="AO31" s="25">
        <v>0</v>
      </c>
      <c r="AP31" s="25">
        <v>0</v>
      </c>
      <c r="AQ31" s="25">
        <v>0</v>
      </c>
      <c r="AR31" s="25"/>
      <c r="AS31" s="25">
        <v>18703.14</v>
      </c>
      <c r="AT31" s="30">
        <f t="shared" si="1"/>
        <v>18703.14</v>
      </c>
      <c r="AU31" s="23">
        <v>0</v>
      </c>
    </row>
    <row r="32" spans="1:48" x14ac:dyDescent="0.2">
      <c r="A32" s="2" t="s">
        <v>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/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/>
      <c r="O32" s="25"/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/>
      <c r="X32" s="25"/>
      <c r="Y32" s="25"/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/>
      <c r="AH32" s="25">
        <v>0</v>
      </c>
      <c r="AI32" s="25">
        <v>0</v>
      </c>
      <c r="AJ32" s="25"/>
      <c r="AK32" s="25">
        <v>0</v>
      </c>
      <c r="AL32" s="25"/>
      <c r="AM32" s="25">
        <v>0</v>
      </c>
      <c r="AN32" s="25"/>
      <c r="AO32" s="25">
        <v>0</v>
      </c>
      <c r="AP32" s="25">
        <v>0</v>
      </c>
      <c r="AQ32" s="25">
        <v>0</v>
      </c>
      <c r="AR32" s="25"/>
      <c r="AS32" s="25">
        <v>0</v>
      </c>
      <c r="AT32" s="30">
        <f t="shared" si="1"/>
        <v>0</v>
      </c>
      <c r="AU32" s="23">
        <v>0</v>
      </c>
    </row>
    <row r="33" spans="1:48" x14ac:dyDescent="0.2">
      <c r="A33" s="76" t="s">
        <v>102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/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/>
      <c r="O33" s="25"/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/>
      <c r="X33" s="25"/>
      <c r="Y33" s="25"/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/>
      <c r="AH33" s="25">
        <v>0</v>
      </c>
      <c r="AI33" s="25">
        <v>0</v>
      </c>
      <c r="AJ33" s="25"/>
      <c r="AK33" s="25">
        <v>0</v>
      </c>
      <c r="AL33" s="25"/>
      <c r="AM33" s="25">
        <v>0</v>
      </c>
      <c r="AN33" s="25"/>
      <c r="AO33" s="25">
        <v>0</v>
      </c>
      <c r="AP33" s="25">
        <v>0</v>
      </c>
      <c r="AQ33" s="25">
        <v>0</v>
      </c>
      <c r="AR33" s="25"/>
      <c r="AS33" s="25">
        <v>5000</v>
      </c>
      <c r="AT33" s="30">
        <f t="shared" si="1"/>
        <v>5000</v>
      </c>
      <c r="AU33" s="23">
        <v>0</v>
      </c>
    </row>
    <row r="34" spans="1:48" x14ac:dyDescent="0.2">
      <c r="A34" s="2" t="s">
        <v>57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/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/>
      <c r="O34" s="25"/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/>
      <c r="X34" s="25"/>
      <c r="Y34" s="25"/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/>
      <c r="AH34" s="25">
        <v>0</v>
      </c>
      <c r="AI34" s="25">
        <v>0</v>
      </c>
      <c r="AJ34" s="25"/>
      <c r="AK34" s="25">
        <v>0</v>
      </c>
      <c r="AL34" s="25"/>
      <c r="AM34" s="25">
        <v>0</v>
      </c>
      <c r="AN34" s="25"/>
      <c r="AO34" s="25">
        <v>0</v>
      </c>
      <c r="AP34" s="25">
        <v>0</v>
      </c>
      <c r="AQ34" s="25">
        <v>0</v>
      </c>
      <c r="AR34" s="25"/>
      <c r="AS34" s="25">
        <v>0</v>
      </c>
      <c r="AT34" s="30">
        <f t="shared" si="1"/>
        <v>0</v>
      </c>
      <c r="AU34" s="23">
        <v>5.1917766414066278E-3</v>
      </c>
    </row>
    <row r="35" spans="1:48" x14ac:dyDescent="0.2">
      <c r="A35" s="2" t="s">
        <v>58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/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/>
      <c r="O35" s="25"/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/>
      <c r="X35" s="25"/>
      <c r="Y35" s="25"/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/>
      <c r="AH35" s="25">
        <v>0</v>
      </c>
      <c r="AI35" s="25">
        <v>0</v>
      </c>
      <c r="AJ35" s="25"/>
      <c r="AK35" s="25">
        <v>0</v>
      </c>
      <c r="AL35" s="25"/>
      <c r="AM35" s="25">
        <v>0</v>
      </c>
      <c r="AN35" s="25"/>
      <c r="AO35" s="25">
        <v>0</v>
      </c>
      <c r="AP35" s="25">
        <v>0</v>
      </c>
      <c r="AQ35" s="25">
        <v>0</v>
      </c>
      <c r="AR35" s="25"/>
      <c r="AS35" s="25">
        <v>0</v>
      </c>
      <c r="AT35" s="30">
        <f t="shared" si="1"/>
        <v>0</v>
      </c>
      <c r="AU35" s="23">
        <v>0</v>
      </c>
    </row>
    <row r="36" spans="1:48" x14ac:dyDescent="0.2">
      <c r="A36" s="2" t="s">
        <v>59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/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/>
      <c r="O36" s="25"/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/>
      <c r="X36" s="25"/>
      <c r="Y36" s="25"/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/>
      <c r="AH36" s="25">
        <v>0</v>
      </c>
      <c r="AI36" s="25">
        <v>0</v>
      </c>
      <c r="AJ36" s="25"/>
      <c r="AK36" s="25">
        <v>0</v>
      </c>
      <c r="AL36" s="25"/>
      <c r="AM36" s="25">
        <v>0</v>
      </c>
      <c r="AN36" s="25"/>
      <c r="AO36" s="25">
        <v>0</v>
      </c>
      <c r="AP36" s="25">
        <v>0</v>
      </c>
      <c r="AQ36" s="25">
        <v>0</v>
      </c>
      <c r="AR36" s="25"/>
      <c r="AS36" s="25">
        <v>0</v>
      </c>
      <c r="AT36" s="30">
        <f t="shared" si="1"/>
        <v>0</v>
      </c>
      <c r="AU36" s="23">
        <v>0</v>
      </c>
    </row>
    <row r="37" spans="1:48" x14ac:dyDescent="0.2">
      <c r="A37" s="2" t="s">
        <v>60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/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/>
      <c r="O37" s="25"/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/>
      <c r="X37" s="25"/>
      <c r="Y37" s="25"/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/>
      <c r="AH37" s="25">
        <v>0</v>
      </c>
      <c r="AI37" s="25">
        <v>0</v>
      </c>
      <c r="AJ37" s="25"/>
      <c r="AK37" s="25">
        <v>0</v>
      </c>
      <c r="AL37" s="25"/>
      <c r="AM37" s="25">
        <v>0</v>
      </c>
      <c r="AN37" s="25"/>
      <c r="AO37" s="25">
        <v>0</v>
      </c>
      <c r="AP37" s="25">
        <v>0</v>
      </c>
      <c r="AQ37" s="25">
        <v>0</v>
      </c>
      <c r="AR37" s="25"/>
      <c r="AS37" s="25">
        <v>18400</v>
      </c>
      <c r="AT37" s="30">
        <f t="shared" si="1"/>
        <v>18400</v>
      </c>
      <c r="AU37" s="23">
        <v>0</v>
      </c>
    </row>
    <row r="38" spans="1:48" x14ac:dyDescent="0.2">
      <c r="A38" s="2" t="s">
        <v>61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/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/>
      <c r="O38" s="25"/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/>
      <c r="X38" s="25"/>
      <c r="Y38" s="25"/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/>
      <c r="AH38" s="25">
        <v>0</v>
      </c>
      <c r="AI38" s="25">
        <v>0</v>
      </c>
      <c r="AJ38" s="25"/>
      <c r="AK38" s="25">
        <v>0</v>
      </c>
      <c r="AL38" s="25"/>
      <c r="AM38" s="25">
        <v>0</v>
      </c>
      <c r="AN38" s="25"/>
      <c r="AO38" s="25">
        <v>0</v>
      </c>
      <c r="AP38" s="25">
        <v>0</v>
      </c>
      <c r="AQ38" s="25">
        <v>0</v>
      </c>
      <c r="AR38" s="25"/>
      <c r="AS38" s="25">
        <v>0</v>
      </c>
      <c r="AT38" s="30">
        <f t="shared" si="1"/>
        <v>0</v>
      </c>
      <c r="AU38" s="23">
        <v>0</v>
      </c>
    </row>
    <row r="39" spans="1:48" x14ac:dyDescent="0.2">
      <c r="A39" s="76" t="s">
        <v>105</v>
      </c>
      <c r="B39" s="25">
        <v>980</v>
      </c>
      <c r="C39" s="25">
        <v>0</v>
      </c>
      <c r="D39" s="25">
        <v>0</v>
      </c>
      <c r="E39" s="25">
        <v>0</v>
      </c>
      <c r="F39" s="25">
        <v>2379.5</v>
      </c>
      <c r="G39" s="25">
        <v>0</v>
      </c>
      <c r="H39" s="25"/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/>
      <c r="O39" s="25"/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/>
      <c r="X39" s="25"/>
      <c r="Y39" s="25"/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/>
      <c r="AH39" s="25">
        <v>0</v>
      </c>
      <c r="AI39" s="25">
        <v>0</v>
      </c>
      <c r="AJ39" s="25"/>
      <c r="AK39" s="25">
        <v>0</v>
      </c>
      <c r="AL39" s="25"/>
      <c r="AM39" s="25">
        <v>0</v>
      </c>
      <c r="AN39" s="25"/>
      <c r="AO39" s="25">
        <v>0</v>
      </c>
      <c r="AP39" s="25">
        <v>637.94000000000005</v>
      </c>
      <c r="AQ39" s="25">
        <v>0</v>
      </c>
      <c r="AR39" s="25"/>
      <c r="AS39" s="25">
        <v>0</v>
      </c>
      <c r="AT39" s="30">
        <f t="shared" si="1"/>
        <v>3997.44</v>
      </c>
      <c r="AU39" s="23">
        <v>2.7028623052734561E-3</v>
      </c>
    </row>
    <row r="40" spans="1:48" x14ac:dyDescent="0.2">
      <c r="A40" s="2" t="s">
        <v>62</v>
      </c>
      <c r="B40" s="25">
        <v>0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/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/>
      <c r="O40" s="25"/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/>
      <c r="X40" s="25"/>
      <c r="Y40" s="25"/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/>
      <c r="AH40" s="25">
        <v>0</v>
      </c>
      <c r="AI40" s="25">
        <v>0</v>
      </c>
      <c r="AJ40" s="25"/>
      <c r="AK40" s="25">
        <v>0</v>
      </c>
      <c r="AL40" s="25"/>
      <c r="AM40" s="25">
        <v>0</v>
      </c>
      <c r="AN40" s="25"/>
      <c r="AO40" s="25">
        <v>0</v>
      </c>
      <c r="AP40" s="25">
        <v>0</v>
      </c>
      <c r="AQ40" s="25">
        <v>0</v>
      </c>
      <c r="AR40" s="25"/>
      <c r="AS40" s="25">
        <v>565000</v>
      </c>
      <c r="AT40" s="30">
        <f t="shared" si="1"/>
        <v>565000</v>
      </c>
      <c r="AU40" s="23">
        <v>0</v>
      </c>
      <c r="AV40" s="2" t="s">
        <v>68</v>
      </c>
    </row>
    <row r="41" spans="1:48" x14ac:dyDescent="0.2">
      <c r="A41" s="2" t="s">
        <v>63</v>
      </c>
      <c r="B41" s="25">
        <v>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/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/>
      <c r="O41" s="25"/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/>
      <c r="X41" s="25"/>
      <c r="Y41" s="25"/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/>
      <c r="AH41" s="25">
        <v>0</v>
      </c>
      <c r="AI41" s="25">
        <v>0</v>
      </c>
      <c r="AJ41" s="25"/>
      <c r="AK41" s="25">
        <v>0</v>
      </c>
      <c r="AL41" s="25"/>
      <c r="AM41" s="25">
        <v>0</v>
      </c>
      <c r="AN41" s="25"/>
      <c r="AO41" s="25">
        <v>0</v>
      </c>
      <c r="AP41" s="25">
        <v>0</v>
      </c>
      <c r="AQ41" s="25">
        <v>0</v>
      </c>
      <c r="AR41" s="25"/>
      <c r="AS41" s="25">
        <v>17211.14</v>
      </c>
      <c r="AT41" s="30">
        <f t="shared" si="1"/>
        <v>17211.14</v>
      </c>
      <c r="AU41" s="23">
        <v>0</v>
      </c>
    </row>
    <row r="42" spans="1:48" x14ac:dyDescent="0.2">
      <c r="A42" s="2" t="s">
        <v>81</v>
      </c>
      <c r="B42" s="25">
        <v>42.589999999999975</v>
      </c>
      <c r="C42" s="25">
        <v>102.71000000000001</v>
      </c>
      <c r="D42" s="25">
        <v>0</v>
      </c>
      <c r="E42" s="25">
        <v>128.41999999999996</v>
      </c>
      <c r="F42" s="25">
        <v>0</v>
      </c>
      <c r="G42" s="25">
        <v>181.09000000000003</v>
      </c>
      <c r="H42" s="25"/>
      <c r="I42" s="25">
        <v>42.59</v>
      </c>
      <c r="J42" s="25">
        <v>66.730000000000018</v>
      </c>
      <c r="K42" s="25">
        <v>0</v>
      </c>
      <c r="L42" s="25">
        <v>102.44</v>
      </c>
      <c r="M42" s="25">
        <v>131.26999999999998</v>
      </c>
      <c r="N42" s="25"/>
      <c r="O42" s="25"/>
      <c r="P42" s="25">
        <v>0</v>
      </c>
      <c r="Q42" s="25">
        <v>102.70999999999998</v>
      </c>
      <c r="R42" s="25">
        <v>0</v>
      </c>
      <c r="S42" s="25">
        <v>52.329999999999984</v>
      </c>
      <c r="T42" s="25">
        <v>102.71000000000004</v>
      </c>
      <c r="U42" s="25">
        <v>0</v>
      </c>
      <c r="V42" s="25">
        <v>0</v>
      </c>
      <c r="W42" s="25"/>
      <c r="X42" s="25"/>
      <c r="Y42" s="25"/>
      <c r="Z42" s="25">
        <v>89.050000000000011</v>
      </c>
      <c r="AA42" s="25">
        <v>203.42000000000002</v>
      </c>
      <c r="AB42" s="25">
        <v>0</v>
      </c>
      <c r="AC42" s="25">
        <v>0</v>
      </c>
      <c r="AD42" s="25">
        <v>51.950000000000017</v>
      </c>
      <c r="AE42" s="25">
        <v>0</v>
      </c>
      <c r="AF42" s="25">
        <v>118.68</v>
      </c>
      <c r="AG42" s="25"/>
      <c r="AH42" s="25">
        <v>0</v>
      </c>
      <c r="AI42" s="25">
        <v>128.41999999999996</v>
      </c>
      <c r="AJ42" s="25"/>
      <c r="AK42" s="25">
        <v>0</v>
      </c>
      <c r="AL42" s="25"/>
      <c r="AM42" s="25">
        <v>0</v>
      </c>
      <c r="AN42" s="25"/>
      <c r="AO42" s="25">
        <v>102.84999999999997</v>
      </c>
      <c r="AP42" s="25">
        <v>46.470000000000027</v>
      </c>
      <c r="AQ42" s="25">
        <v>0</v>
      </c>
      <c r="AR42" s="25"/>
      <c r="AS42" s="25">
        <v>140.84</v>
      </c>
      <c r="AT42" s="30">
        <f t="shared" si="1"/>
        <v>1937.27</v>
      </c>
      <c r="AU42" s="23">
        <v>0</v>
      </c>
    </row>
    <row r="43" spans="1:48" x14ac:dyDescent="0.2">
      <c r="A43" s="2" t="s">
        <v>64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/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/>
      <c r="O43" s="25"/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/>
      <c r="X43" s="25"/>
      <c r="Y43" s="25"/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/>
      <c r="AH43" s="25">
        <v>15</v>
      </c>
      <c r="AI43" s="25">
        <v>0</v>
      </c>
      <c r="AJ43" s="25"/>
      <c r="AK43" s="25">
        <v>0</v>
      </c>
      <c r="AL43" s="25"/>
      <c r="AM43" s="25">
        <v>0</v>
      </c>
      <c r="AN43" s="25"/>
      <c r="AO43" s="25">
        <v>0</v>
      </c>
      <c r="AP43" s="25">
        <v>0</v>
      </c>
      <c r="AQ43" s="25">
        <v>0</v>
      </c>
      <c r="AR43" s="25"/>
      <c r="AS43" s="25">
        <v>79883.41</v>
      </c>
      <c r="AT43" s="30">
        <f t="shared" si="1"/>
        <v>79898.41</v>
      </c>
      <c r="AU43" s="23">
        <v>0</v>
      </c>
    </row>
    <row r="44" spans="1:48" x14ac:dyDescent="0.2">
      <c r="A44" s="2" t="s">
        <v>66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/>
      <c r="I44" s="25">
        <v>0</v>
      </c>
      <c r="J44" s="25">
        <v>0</v>
      </c>
      <c r="K44" s="25">
        <v>0</v>
      </c>
      <c r="L44" s="25">
        <v>100</v>
      </c>
      <c r="M44" s="25">
        <v>0</v>
      </c>
      <c r="N44" s="25"/>
      <c r="O44" s="25"/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50</v>
      </c>
      <c r="W44" s="25"/>
      <c r="X44" s="25"/>
      <c r="Y44" s="25"/>
      <c r="Z44" s="25">
        <v>0</v>
      </c>
      <c r="AA44" s="25">
        <v>90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/>
      <c r="AH44" s="25">
        <v>0</v>
      </c>
      <c r="AI44" s="25">
        <v>50</v>
      </c>
      <c r="AJ44" s="25"/>
      <c r="AK44" s="25">
        <v>0</v>
      </c>
      <c r="AL44" s="25"/>
      <c r="AM44" s="25">
        <v>0</v>
      </c>
      <c r="AN44" s="25"/>
      <c r="AO44" s="25">
        <v>0</v>
      </c>
      <c r="AP44" s="25">
        <v>0</v>
      </c>
      <c r="AQ44" s="25">
        <v>60</v>
      </c>
      <c r="AR44" s="25"/>
      <c r="AS44" s="25">
        <v>8964.67</v>
      </c>
      <c r="AT44" s="30">
        <f t="shared" si="1"/>
        <v>9314.67</v>
      </c>
      <c r="AU44" s="23">
        <v>1.3686091689548861E-3</v>
      </c>
    </row>
    <row r="45" spans="1:48" ht="12.75" thickBot="1" x14ac:dyDescent="0.25">
      <c r="A45" s="14" t="s">
        <v>67</v>
      </c>
      <c r="B45" s="27">
        <f>SUM(B15:B44)</f>
        <v>184189.06999999998</v>
      </c>
      <c r="C45" s="27">
        <f t="shared" ref="C45:AS45" si="2">SUM(C15:C44)</f>
        <v>471.66999999999996</v>
      </c>
      <c r="D45" s="27">
        <f t="shared" si="2"/>
        <v>35132.590000000004</v>
      </c>
      <c r="E45" s="27">
        <f t="shared" si="2"/>
        <v>61162.330000000009</v>
      </c>
      <c r="F45" s="27">
        <f t="shared" si="2"/>
        <v>158193.49000000005</v>
      </c>
      <c r="G45" s="27">
        <f t="shared" si="2"/>
        <v>37357.680000000008</v>
      </c>
      <c r="H45" s="27">
        <f t="shared" si="2"/>
        <v>0</v>
      </c>
      <c r="I45" s="27">
        <f t="shared" si="2"/>
        <v>259500.72000000006</v>
      </c>
      <c r="J45" s="27">
        <f t="shared" si="2"/>
        <v>105973.51999999997</v>
      </c>
      <c r="K45" s="27">
        <f t="shared" si="2"/>
        <v>11628.56</v>
      </c>
      <c r="L45" s="27">
        <f t="shared" si="2"/>
        <v>46521.439999999995</v>
      </c>
      <c r="M45" s="27">
        <f t="shared" si="2"/>
        <v>36496.039999999994</v>
      </c>
      <c r="N45" s="27">
        <f t="shared" si="2"/>
        <v>0</v>
      </c>
      <c r="O45" s="27">
        <f t="shared" si="2"/>
        <v>0</v>
      </c>
      <c r="P45" s="27">
        <f t="shared" si="2"/>
        <v>26493.839999999997</v>
      </c>
      <c r="Q45" s="27">
        <f t="shared" si="2"/>
        <v>11968.840000000002</v>
      </c>
      <c r="R45" s="27">
        <f t="shared" si="2"/>
        <v>57158.609999999979</v>
      </c>
      <c r="S45" s="27">
        <f t="shared" si="2"/>
        <v>41409.360000000001</v>
      </c>
      <c r="T45" s="27">
        <f t="shared" si="2"/>
        <v>29659.910000000003</v>
      </c>
      <c r="U45" s="27">
        <f t="shared" si="2"/>
        <v>10757.180000000004</v>
      </c>
      <c r="V45" s="27">
        <f t="shared" si="2"/>
        <v>37259.159999999996</v>
      </c>
      <c r="W45" s="27">
        <f t="shared" si="2"/>
        <v>0</v>
      </c>
      <c r="X45" s="27">
        <f t="shared" si="2"/>
        <v>0</v>
      </c>
      <c r="Y45" s="27">
        <f t="shared" si="2"/>
        <v>0</v>
      </c>
      <c r="Z45" s="27">
        <f t="shared" si="2"/>
        <v>22363.41</v>
      </c>
      <c r="AA45" s="27">
        <f t="shared" si="2"/>
        <v>29928.629999999997</v>
      </c>
      <c r="AB45" s="27">
        <f t="shared" si="2"/>
        <v>312.16000000000008</v>
      </c>
      <c r="AC45" s="27">
        <f t="shared" si="2"/>
        <v>44895.12</v>
      </c>
      <c r="AD45" s="27">
        <f t="shared" si="2"/>
        <v>18753.89</v>
      </c>
      <c r="AE45" s="27">
        <f t="shared" si="2"/>
        <v>11852.22</v>
      </c>
      <c r="AF45" s="27">
        <f t="shared" si="2"/>
        <v>39034.159999999989</v>
      </c>
      <c r="AG45" s="27">
        <f t="shared" si="2"/>
        <v>0</v>
      </c>
      <c r="AH45" s="27">
        <f t="shared" si="2"/>
        <v>138479.08999999997</v>
      </c>
      <c r="AI45" s="27">
        <f t="shared" si="2"/>
        <v>11359.080000000002</v>
      </c>
      <c r="AJ45" s="27">
        <f t="shared" si="2"/>
        <v>0</v>
      </c>
      <c r="AK45" s="27">
        <f t="shared" si="2"/>
        <v>37404.44000000001</v>
      </c>
      <c r="AL45" s="27">
        <f>SUM(AL15:AL44)</f>
        <v>0</v>
      </c>
      <c r="AM45" s="27">
        <f>SUM(AM15:AM44)</f>
        <v>32990.950000000004</v>
      </c>
      <c r="AN45" s="27">
        <f t="shared" ref="AN45:AQ45" si="3">SUM(AN15:AN44)</f>
        <v>0</v>
      </c>
      <c r="AO45" s="27">
        <f t="shared" si="3"/>
        <v>11963.590000000002</v>
      </c>
      <c r="AP45" s="27">
        <f t="shared" si="3"/>
        <v>91044.590000000011</v>
      </c>
      <c r="AQ45" s="27">
        <f t="shared" si="3"/>
        <v>10502.48</v>
      </c>
      <c r="AR45" s="27">
        <f t="shared" si="2"/>
        <v>0</v>
      </c>
      <c r="AS45" s="27">
        <f t="shared" si="2"/>
        <v>1134247.1599999999</v>
      </c>
      <c r="AT45" s="27">
        <f>SUM(AT15:AT44)</f>
        <v>2786464.98</v>
      </c>
      <c r="AU45" s="10">
        <f>SUM(AU15:AU44)</f>
        <v>0.99873737074352287</v>
      </c>
    </row>
    <row r="46" spans="1:48" ht="12.75" thickTop="1" x14ac:dyDescent="0.2">
      <c r="D46" s="2" t="s">
        <v>68</v>
      </c>
      <c r="E46" s="2" t="s">
        <v>68</v>
      </c>
      <c r="F46" s="2" t="s">
        <v>68</v>
      </c>
      <c r="G46" s="2" t="s">
        <v>68</v>
      </c>
      <c r="H46" s="2" t="s">
        <v>68</v>
      </c>
      <c r="I46" s="2" t="s">
        <v>68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68</v>
      </c>
      <c r="Q46" s="2" t="s">
        <v>68</v>
      </c>
      <c r="R46" s="2" t="s">
        <v>68</v>
      </c>
      <c r="S46" s="2" t="s">
        <v>68</v>
      </c>
      <c r="AT46" s="29" t="s">
        <v>68</v>
      </c>
    </row>
    <row r="47" spans="1:48" ht="12.75" thickBot="1" x14ac:dyDescent="0.25">
      <c r="A47" s="14" t="s">
        <v>69</v>
      </c>
      <c r="B47" s="14">
        <f>+B13-B45</f>
        <v>128810.93000000002</v>
      </c>
      <c r="C47" s="14">
        <f t="shared" ref="C47:Z47" si="4">+C13-C45</f>
        <v>105028.33</v>
      </c>
      <c r="D47" s="14">
        <f t="shared" si="4"/>
        <v>21617.409999999996</v>
      </c>
      <c r="E47" s="14">
        <f t="shared" si="4"/>
        <v>27487.669999999991</v>
      </c>
      <c r="F47" s="14">
        <f t="shared" si="4"/>
        <v>114706.50999999995</v>
      </c>
      <c r="G47" s="14">
        <f>+G13-G45</f>
        <v>13585.819999999992</v>
      </c>
      <c r="H47" s="14">
        <f t="shared" si="4"/>
        <v>0</v>
      </c>
      <c r="I47" s="14">
        <f t="shared" si="4"/>
        <v>205399.27999999994</v>
      </c>
      <c r="J47" s="14">
        <f t="shared" si="4"/>
        <v>83539.980000000025</v>
      </c>
      <c r="K47" s="14">
        <f t="shared" si="4"/>
        <v>7371.4400000000005</v>
      </c>
      <c r="L47" s="14">
        <f t="shared" si="4"/>
        <v>41778.550000000054</v>
      </c>
      <c r="M47" s="14">
        <f t="shared" si="4"/>
        <v>38703.960000000006</v>
      </c>
      <c r="N47" s="14">
        <f t="shared" si="4"/>
        <v>0</v>
      </c>
      <c r="O47" s="14">
        <f t="shared" si="4"/>
        <v>0</v>
      </c>
      <c r="P47" s="14">
        <f t="shared" si="4"/>
        <v>12631.160000000003</v>
      </c>
      <c r="Q47" s="14">
        <f t="shared" si="4"/>
        <v>12031.159999999998</v>
      </c>
      <c r="R47" s="14">
        <f t="shared" si="4"/>
        <v>40591.390000000021</v>
      </c>
      <c r="S47" s="14">
        <f t="shared" si="4"/>
        <v>56840.639999999999</v>
      </c>
      <c r="T47" s="14">
        <f t="shared" si="4"/>
        <v>26090.089999999997</v>
      </c>
      <c r="U47" s="14">
        <f t="shared" si="4"/>
        <v>-10757.180000000004</v>
      </c>
      <c r="V47" s="14">
        <f t="shared" si="4"/>
        <v>16740.840000000004</v>
      </c>
      <c r="W47" s="14">
        <f t="shared" si="4"/>
        <v>0</v>
      </c>
      <c r="X47" s="14">
        <f t="shared" si="4"/>
        <v>0</v>
      </c>
      <c r="Y47" s="14">
        <f>+Y13-Y45</f>
        <v>0</v>
      </c>
      <c r="Z47" s="14">
        <f t="shared" si="4"/>
        <v>13636.59</v>
      </c>
      <c r="AA47" s="14">
        <f>+AA13-AA45</f>
        <v>8071.3700000000026</v>
      </c>
      <c r="AB47" s="14">
        <f>+AB13-AB45</f>
        <v>-312.16000000000008</v>
      </c>
      <c r="AC47" s="14">
        <f>+AC13-AC45</f>
        <v>41604.879999999997</v>
      </c>
      <c r="AD47" s="14">
        <f>+AD13-AD45</f>
        <v>19246.11</v>
      </c>
      <c r="AE47" s="14">
        <f t="shared" ref="AE47:AJ47" si="5">+AE13-AE45</f>
        <v>7647.7800000000007</v>
      </c>
      <c r="AF47" s="14">
        <f t="shared" si="5"/>
        <v>45465.840000000011</v>
      </c>
      <c r="AG47" s="14">
        <f t="shared" si="5"/>
        <v>0</v>
      </c>
      <c r="AH47" s="14">
        <f t="shared" si="5"/>
        <v>114020.91000000003</v>
      </c>
      <c r="AI47" s="14">
        <f t="shared" si="5"/>
        <v>44390.92</v>
      </c>
      <c r="AJ47" s="14">
        <f t="shared" si="5"/>
        <v>0</v>
      </c>
      <c r="AK47" s="14">
        <f>+AK13-AK45</f>
        <v>19795.55999999999</v>
      </c>
      <c r="AL47" s="14">
        <f>+AL13-AL45</f>
        <v>0</v>
      </c>
      <c r="AM47" s="14">
        <f>+AM13-AM45</f>
        <v>28509.049999999996</v>
      </c>
      <c r="AN47" s="14">
        <f t="shared" ref="AN47:AQ47" si="6">+AN13-AN45</f>
        <v>0</v>
      </c>
      <c r="AO47" s="14">
        <f t="shared" si="6"/>
        <v>6536.409999999998</v>
      </c>
      <c r="AP47" s="14">
        <f t="shared" si="6"/>
        <v>140955.40999999997</v>
      </c>
      <c r="AQ47" s="14">
        <f t="shared" si="6"/>
        <v>8197.52</v>
      </c>
      <c r="AR47" s="14">
        <f t="shared" ref="AR47:AS47" si="7">+AR13-AR45</f>
        <v>2900</v>
      </c>
      <c r="AS47" s="14">
        <f t="shared" si="7"/>
        <v>-1134247.1599999999</v>
      </c>
      <c r="AT47" s="14">
        <f>SUM(B47:AS47)</f>
        <v>308617.00999999978</v>
      </c>
      <c r="AU47" s="39"/>
    </row>
    <row r="48" spans="1:48" ht="12.75" thickTop="1" x14ac:dyDescent="0.2"/>
    <row r="49" spans="1:48" x14ac:dyDescent="0.2">
      <c r="A49" s="2" t="s">
        <v>70</v>
      </c>
      <c r="B49" s="2">
        <f>34615+5100</f>
        <v>39715</v>
      </c>
      <c r="C49" s="2">
        <f>19000+12300</f>
        <v>31300</v>
      </c>
      <c r="D49" s="2">
        <f>3660+300</f>
        <v>3960</v>
      </c>
      <c r="E49" s="2">
        <v>4850</v>
      </c>
      <c r="F49" s="2">
        <f>21825+900</f>
        <v>22725</v>
      </c>
      <c r="G49" s="2">
        <f>2700+300</f>
        <v>3000</v>
      </c>
      <c r="I49" s="2">
        <f>47545+2100</f>
        <v>49645</v>
      </c>
      <c r="J49" s="2">
        <f>19269.16+10800</f>
        <v>30069.16</v>
      </c>
      <c r="L49" s="2">
        <f>12250+600</f>
        <v>12850</v>
      </c>
      <c r="M49" s="2">
        <v>3550</v>
      </c>
      <c r="P49" s="2">
        <f>4900+1500</f>
        <v>6400</v>
      </c>
      <c r="Q49" s="2">
        <f>2100+350</f>
        <v>2450</v>
      </c>
      <c r="R49" s="2">
        <v>8050</v>
      </c>
      <c r="S49" s="2">
        <f>15000+300</f>
        <v>15300</v>
      </c>
      <c r="T49" s="2">
        <f>13950+2700</f>
        <v>16650</v>
      </c>
      <c r="V49" s="2">
        <f>2450+300</f>
        <v>2750</v>
      </c>
      <c r="Z49" s="2">
        <v>700</v>
      </c>
      <c r="AA49" s="2">
        <v>5600</v>
      </c>
      <c r="AC49" s="2">
        <f>10290+600</f>
        <v>10890</v>
      </c>
      <c r="AD49" s="2">
        <v>8740</v>
      </c>
      <c r="AF49" s="2">
        <f>15050+5700</f>
        <v>20750</v>
      </c>
      <c r="AH49" s="2">
        <f>13895+10200</f>
        <v>24095</v>
      </c>
      <c r="AI49" s="2">
        <f>12600+1800</f>
        <v>14400</v>
      </c>
      <c r="AK49" s="2">
        <v>1250</v>
      </c>
      <c r="AM49" s="2">
        <f>5310+1800</f>
        <v>7110</v>
      </c>
      <c r="AO49" s="2">
        <v>250</v>
      </c>
      <c r="AP49" s="2">
        <f>26073.33+20400</f>
        <v>46473.33</v>
      </c>
      <c r="AQ49" s="2">
        <f>650+300</f>
        <v>950</v>
      </c>
      <c r="AR49" s="2">
        <v>300</v>
      </c>
      <c r="AS49" s="2">
        <v>9462.5</v>
      </c>
      <c r="AT49" s="29">
        <f>SUM(B49:AS49)</f>
        <v>404234.99000000005</v>
      </c>
    </row>
    <row r="50" spans="1:48" s="25" customFormat="1" x14ac:dyDescent="0.2">
      <c r="A50" s="37" t="s">
        <v>71</v>
      </c>
      <c r="B50" s="37">
        <f>+B47-B49</f>
        <v>89095.930000000022</v>
      </c>
      <c r="C50" s="37">
        <f t="shared" ref="C50:AS50" si="8">+C47-C49</f>
        <v>73728.33</v>
      </c>
      <c r="D50" s="37">
        <f t="shared" si="8"/>
        <v>17657.409999999996</v>
      </c>
      <c r="E50" s="37">
        <f t="shared" si="8"/>
        <v>22637.669999999991</v>
      </c>
      <c r="F50" s="37">
        <f t="shared" si="8"/>
        <v>91981.509999999951</v>
      </c>
      <c r="G50" s="37">
        <f t="shared" si="8"/>
        <v>10585.819999999992</v>
      </c>
      <c r="H50" s="37">
        <f t="shared" si="8"/>
        <v>0</v>
      </c>
      <c r="I50" s="37">
        <f t="shared" si="8"/>
        <v>155754.27999999994</v>
      </c>
      <c r="J50" s="37">
        <f t="shared" si="8"/>
        <v>53470.820000000022</v>
      </c>
      <c r="K50" s="37">
        <f t="shared" si="8"/>
        <v>7371.4400000000005</v>
      </c>
      <c r="L50" s="37">
        <f t="shared" si="8"/>
        <v>28928.550000000054</v>
      </c>
      <c r="M50" s="37">
        <f t="shared" si="8"/>
        <v>35153.960000000006</v>
      </c>
      <c r="N50" s="37">
        <f t="shared" si="8"/>
        <v>0</v>
      </c>
      <c r="O50" s="37">
        <f t="shared" si="8"/>
        <v>0</v>
      </c>
      <c r="P50" s="37">
        <f t="shared" si="8"/>
        <v>6231.1600000000035</v>
      </c>
      <c r="Q50" s="37">
        <f t="shared" si="8"/>
        <v>9581.159999999998</v>
      </c>
      <c r="R50" s="37">
        <f t="shared" si="8"/>
        <v>32541.390000000021</v>
      </c>
      <c r="S50" s="37">
        <f t="shared" si="8"/>
        <v>41540.639999999999</v>
      </c>
      <c r="T50" s="37">
        <f t="shared" si="8"/>
        <v>9440.0899999999965</v>
      </c>
      <c r="U50" s="37">
        <f t="shared" si="8"/>
        <v>-10757.180000000004</v>
      </c>
      <c r="V50" s="37">
        <f t="shared" si="8"/>
        <v>13990.840000000004</v>
      </c>
      <c r="W50" s="37">
        <f t="shared" si="8"/>
        <v>0</v>
      </c>
      <c r="X50" s="37">
        <f t="shared" si="8"/>
        <v>0</v>
      </c>
      <c r="Y50" s="37">
        <f t="shared" si="8"/>
        <v>0</v>
      </c>
      <c r="Z50" s="37">
        <f t="shared" si="8"/>
        <v>12936.59</v>
      </c>
      <c r="AA50" s="37">
        <f t="shared" si="8"/>
        <v>2471.3700000000026</v>
      </c>
      <c r="AB50" s="37">
        <f t="shared" si="8"/>
        <v>-312.16000000000008</v>
      </c>
      <c r="AC50" s="37">
        <f t="shared" si="8"/>
        <v>30714.879999999997</v>
      </c>
      <c r="AD50" s="37">
        <f t="shared" si="8"/>
        <v>10506.11</v>
      </c>
      <c r="AE50" s="37">
        <f t="shared" si="8"/>
        <v>7647.7800000000007</v>
      </c>
      <c r="AF50" s="37">
        <f t="shared" si="8"/>
        <v>24715.840000000011</v>
      </c>
      <c r="AG50" s="37">
        <f t="shared" si="8"/>
        <v>0</v>
      </c>
      <c r="AH50" s="37">
        <f t="shared" si="8"/>
        <v>89925.910000000033</v>
      </c>
      <c r="AI50" s="37">
        <f t="shared" si="8"/>
        <v>29990.92</v>
      </c>
      <c r="AJ50" s="37">
        <f t="shared" si="8"/>
        <v>0</v>
      </c>
      <c r="AK50" s="37">
        <f t="shared" si="8"/>
        <v>18545.55999999999</v>
      </c>
      <c r="AL50" s="37">
        <f t="shared" si="8"/>
        <v>0</v>
      </c>
      <c r="AM50" s="37">
        <f t="shared" si="8"/>
        <v>21399.049999999996</v>
      </c>
      <c r="AN50" s="37">
        <f t="shared" si="8"/>
        <v>0</v>
      </c>
      <c r="AO50" s="37">
        <f t="shared" si="8"/>
        <v>6286.409999999998</v>
      </c>
      <c r="AP50" s="37">
        <f t="shared" si="8"/>
        <v>94482.079999999973</v>
      </c>
      <c r="AQ50" s="37">
        <f t="shared" si="8"/>
        <v>7247.52</v>
      </c>
      <c r="AR50" s="37">
        <f t="shared" si="8"/>
        <v>2600</v>
      </c>
      <c r="AS50" s="37">
        <f t="shared" si="8"/>
        <v>-1143709.6599999999</v>
      </c>
      <c r="AT50" s="38">
        <f>SUM(B50:AS50)-AT53-AT54-AT55+AT56</f>
        <v>311781.61105000001</v>
      </c>
      <c r="AU50" s="40"/>
    </row>
    <row r="51" spans="1:48" x14ac:dyDescent="0.2">
      <c r="AT51" s="18">
        <v>311781.62</v>
      </c>
      <c r="AU51" s="28" t="s">
        <v>72</v>
      </c>
      <c r="AV51" s="2" t="s">
        <v>106</v>
      </c>
    </row>
    <row r="52" spans="1:48" x14ac:dyDescent="0.2">
      <c r="AT52" s="47">
        <f>+AT50-AT51</f>
        <v>-8.9499999885447323E-3</v>
      </c>
      <c r="AU52" s="48" t="s">
        <v>82</v>
      </c>
    </row>
    <row r="53" spans="1:48" x14ac:dyDescent="0.2">
      <c r="A53" s="45" t="s">
        <v>78</v>
      </c>
      <c r="B53" s="45"/>
      <c r="C53" s="45"/>
      <c r="D53" s="45"/>
      <c r="E53" s="45">
        <f>+E50*8.5%</f>
        <v>1924.2019499999994</v>
      </c>
      <c r="F53" s="45"/>
      <c r="G53" s="45">
        <f>+G50*8.5%</f>
        <v>899.79469999999947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>
        <f>+V50*8.5%</f>
        <v>1189.2214000000004</v>
      </c>
      <c r="W53" s="45">
        <f>+W50*8.5%</f>
        <v>0</v>
      </c>
      <c r="X53" s="45"/>
      <c r="Y53" s="45">
        <f>+Y50*8.5%</f>
        <v>0</v>
      </c>
      <c r="Z53" s="45">
        <f>+Z50*8.5%</f>
        <v>1099.6101500000002</v>
      </c>
      <c r="AA53" s="45">
        <f>+AA50*8.5%</f>
        <v>210.06645000000023</v>
      </c>
      <c r="AB53" s="45"/>
      <c r="AC53" s="45">
        <f>(AC50-AC54)*8.5%</f>
        <v>2398.2647999999999</v>
      </c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6">
        <f>SUM(B53:AS53)</f>
        <v>7721.1594500000001</v>
      </c>
    </row>
    <row r="54" spans="1:48" x14ac:dyDescent="0.2">
      <c r="A54" s="45" t="s">
        <v>84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>
        <v>2500</v>
      </c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>
        <v>16279.2495</v>
      </c>
      <c r="AT54" s="46">
        <f t="shared" ref="AT54:AT56" si="9">SUM(B54:AS54)</f>
        <v>18779.249499999998</v>
      </c>
    </row>
    <row r="55" spans="1:48" s="1" customFormat="1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5">
        <v>185000</v>
      </c>
      <c r="AT55" s="46">
        <f t="shared" si="9"/>
        <v>185000</v>
      </c>
    </row>
    <row r="56" spans="1:48" s="1" customFormat="1" x14ac:dyDescent="0.2">
      <c r="A56" s="49" t="s">
        <v>86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5">
        <v>618900</v>
      </c>
      <c r="AT56" s="46">
        <f t="shared" si="9"/>
        <v>618900</v>
      </c>
    </row>
    <row r="58" spans="1:48" s="1" customFormat="1" ht="12.75" x14ac:dyDescent="0.2">
      <c r="A58" s="57" t="s">
        <v>92</v>
      </c>
      <c r="B58" s="57">
        <v>15</v>
      </c>
      <c r="C58" s="57">
        <v>6</v>
      </c>
      <c r="D58" s="57">
        <v>3</v>
      </c>
      <c r="E58" s="57">
        <v>5</v>
      </c>
      <c r="F58" s="57">
        <v>14</v>
      </c>
      <c r="G58" s="57">
        <v>3</v>
      </c>
      <c r="H58" s="57"/>
      <c r="I58" s="57">
        <v>24</v>
      </c>
      <c r="J58" s="57">
        <v>11</v>
      </c>
      <c r="K58" s="57">
        <v>2</v>
      </c>
      <c r="L58" s="57">
        <v>5</v>
      </c>
      <c r="M58" s="57">
        <v>3</v>
      </c>
      <c r="N58" s="57"/>
      <c r="O58" s="57"/>
      <c r="P58" s="57">
        <v>4</v>
      </c>
      <c r="Q58" s="57">
        <v>1</v>
      </c>
      <c r="R58" s="57">
        <v>5</v>
      </c>
      <c r="S58" s="57">
        <v>4</v>
      </c>
      <c r="T58" s="57">
        <v>3</v>
      </c>
      <c r="U58" s="57">
        <v>3</v>
      </c>
      <c r="V58" s="57">
        <v>3</v>
      </c>
      <c r="W58" s="57"/>
      <c r="X58" s="57"/>
      <c r="Y58" s="57"/>
      <c r="Z58" s="57">
        <v>2</v>
      </c>
      <c r="AA58" s="57">
        <v>2</v>
      </c>
      <c r="AB58" s="57">
        <v>2</v>
      </c>
      <c r="AC58" s="57">
        <v>6</v>
      </c>
      <c r="AD58" s="57">
        <v>2</v>
      </c>
      <c r="AE58" s="57">
        <v>1</v>
      </c>
      <c r="AF58" s="57">
        <v>5</v>
      </c>
      <c r="AG58" s="57"/>
      <c r="AH58" s="57">
        <v>13</v>
      </c>
      <c r="AI58" s="57">
        <v>3</v>
      </c>
      <c r="AJ58" s="57"/>
      <c r="AK58" s="57">
        <v>3</v>
      </c>
      <c r="AL58" s="57"/>
      <c r="AM58" s="57">
        <v>3</v>
      </c>
      <c r="AN58" s="57"/>
      <c r="AO58" s="57">
        <v>1</v>
      </c>
      <c r="AP58" s="57">
        <v>12</v>
      </c>
      <c r="AQ58" s="57">
        <v>1</v>
      </c>
      <c r="AR58" s="65">
        <f>SUM(A58:AQ58)</f>
        <v>170</v>
      </c>
      <c r="AS58" s="66" t="s">
        <v>103</v>
      </c>
      <c r="AT58" s="3"/>
    </row>
    <row r="59" spans="1:48" s="1" customFormat="1" x14ac:dyDescent="0.2">
      <c r="A59" s="57" t="s">
        <v>91</v>
      </c>
      <c r="B59" s="58">
        <f>+B50/B58</f>
        <v>5939.7286666666678</v>
      </c>
      <c r="C59" s="58">
        <f t="shared" ref="C59:AM59" si="10">+C50/C58</f>
        <v>12288.055</v>
      </c>
      <c r="D59" s="58">
        <f t="shared" ref="D59" si="11">+D50/D58</f>
        <v>5885.8033333333324</v>
      </c>
      <c r="E59" s="58">
        <f t="shared" si="10"/>
        <v>4527.5339999999978</v>
      </c>
      <c r="F59" s="58">
        <f t="shared" si="10"/>
        <v>6570.1078571428534</v>
      </c>
      <c r="G59" s="58">
        <f t="shared" si="10"/>
        <v>3528.6066666666643</v>
      </c>
      <c r="H59" s="58"/>
      <c r="I59" s="58">
        <f t="shared" si="10"/>
        <v>6489.7616666666645</v>
      </c>
      <c r="J59" s="58">
        <f t="shared" si="10"/>
        <v>4860.9836363636387</v>
      </c>
      <c r="K59" s="58">
        <f t="shared" si="10"/>
        <v>3685.7200000000003</v>
      </c>
      <c r="L59" s="58">
        <f t="shared" si="10"/>
        <v>5785.710000000011</v>
      </c>
      <c r="M59" s="58">
        <f>(M50-M9)/M58</f>
        <v>4517.9866666666685</v>
      </c>
      <c r="N59" s="58"/>
      <c r="O59" s="58"/>
      <c r="P59" s="58">
        <f t="shared" si="10"/>
        <v>1557.7900000000009</v>
      </c>
      <c r="Q59" s="58">
        <f t="shared" si="10"/>
        <v>9581.159999999998</v>
      </c>
      <c r="R59" s="58">
        <f t="shared" si="10"/>
        <v>6508.2780000000039</v>
      </c>
      <c r="S59" s="58">
        <f t="shared" si="10"/>
        <v>10385.16</v>
      </c>
      <c r="T59" s="58">
        <f t="shared" si="10"/>
        <v>3146.6966666666654</v>
      </c>
      <c r="U59" s="58">
        <f t="shared" si="10"/>
        <v>-3585.7266666666678</v>
      </c>
      <c r="V59" s="58">
        <f t="shared" si="10"/>
        <v>4663.6133333333346</v>
      </c>
      <c r="W59" s="58"/>
      <c r="X59" s="58"/>
      <c r="Y59" s="58"/>
      <c r="Z59" s="58">
        <f t="shared" si="10"/>
        <v>6468.2950000000001</v>
      </c>
      <c r="AA59" s="58">
        <f t="shared" si="10"/>
        <v>1235.6850000000013</v>
      </c>
      <c r="AB59" s="58">
        <f t="shared" si="10"/>
        <v>-156.08000000000004</v>
      </c>
      <c r="AC59" s="58">
        <f t="shared" si="10"/>
        <v>5119.1466666666665</v>
      </c>
      <c r="AD59" s="58">
        <f t="shared" si="10"/>
        <v>5253.0550000000003</v>
      </c>
      <c r="AE59" s="58">
        <f t="shared" si="10"/>
        <v>7647.7800000000007</v>
      </c>
      <c r="AF59" s="58">
        <f t="shared" si="10"/>
        <v>4943.1680000000024</v>
      </c>
      <c r="AG59" s="58"/>
      <c r="AH59" s="58">
        <f t="shared" si="10"/>
        <v>6917.3776923076948</v>
      </c>
      <c r="AI59" s="58">
        <f t="shared" si="10"/>
        <v>9996.9733333333334</v>
      </c>
      <c r="AJ59" s="58"/>
      <c r="AK59" s="58">
        <f t="shared" si="10"/>
        <v>6181.8533333333298</v>
      </c>
      <c r="AL59" s="58"/>
      <c r="AM59" s="58">
        <f t="shared" si="10"/>
        <v>7133.0166666666655</v>
      </c>
      <c r="AN59" s="58"/>
      <c r="AO59" s="58">
        <f t="shared" ref="AO59:AQ59" si="12">+AO50/AO58</f>
        <v>6286.409999999998</v>
      </c>
      <c r="AP59" s="58">
        <f t="shared" si="12"/>
        <v>7873.5066666666644</v>
      </c>
      <c r="AQ59" s="58">
        <f t="shared" si="12"/>
        <v>7247.52</v>
      </c>
    </row>
    <row r="60" spans="1:48" s="1" customFormat="1" x14ac:dyDescent="0.2">
      <c r="N60" s="3"/>
      <c r="O60" s="3"/>
      <c r="P60" s="3"/>
      <c r="Q60" s="3"/>
      <c r="R60" s="3"/>
      <c r="S60" s="3"/>
      <c r="T60" s="3"/>
      <c r="U60" s="3"/>
    </row>
    <row r="61" spans="1:48" s="1" customFormat="1" x14ac:dyDescent="0.2">
      <c r="N61" s="3"/>
      <c r="O61" s="3"/>
      <c r="P61" s="3"/>
      <c r="Q61" s="3"/>
      <c r="R61" s="3"/>
      <c r="S61" s="3"/>
      <c r="T61" s="3"/>
      <c r="U61" s="3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8561-9101-4F1D-A74E-09B230F0D883}">
  <sheetPr>
    <tabColor rgb="FF7030A0"/>
  </sheetPr>
  <dimension ref="A2:AV61"/>
  <sheetViews>
    <sheetView zoomScaleNormal="100" workbookViewId="0">
      <pane xSplit="1" ySplit="7" topLeftCell="AI38" activePane="bottomRight" state="frozen"/>
      <selection activeCell="D53" sqref="D53"/>
      <selection pane="topRight" activeCell="D53" sqref="D53"/>
      <selection pane="bottomLeft" activeCell="D53" sqref="D53"/>
      <selection pane="bottomRight" activeCell="AN6" sqref="AN6"/>
    </sheetView>
  </sheetViews>
  <sheetFormatPr baseColWidth="10" defaultColWidth="11.42578125" defaultRowHeight="12" x14ac:dyDescent="0.2"/>
  <cols>
    <col min="1" max="7" width="11.42578125" style="2"/>
    <col min="8" max="8" width="11.42578125" style="2" customWidth="1"/>
    <col min="9" max="13" width="11.42578125" style="2"/>
    <col min="14" max="14" width="0" style="2" hidden="1" customWidth="1"/>
    <col min="15" max="15" width="11.42578125" style="2"/>
    <col min="16" max="17" width="11.42578125" style="2" hidden="1" customWidth="1"/>
    <col min="18" max="20" width="11.42578125" style="2"/>
    <col min="21" max="21" width="0" style="2" hidden="1" customWidth="1"/>
    <col min="22" max="22" width="11.42578125" style="2"/>
    <col min="23" max="25" width="0" style="2" hidden="1" customWidth="1"/>
    <col min="26" max="27" width="11.42578125" style="2"/>
    <col min="28" max="28" width="0" style="2" hidden="1" customWidth="1"/>
    <col min="29" max="32" width="11.42578125" style="2"/>
    <col min="33" max="33" width="0" style="2" hidden="1" customWidth="1"/>
    <col min="34" max="35" width="11.42578125" style="2"/>
    <col min="36" max="36" width="0" style="2" hidden="1" customWidth="1"/>
    <col min="37" max="37" width="11.42578125" style="2"/>
    <col min="38" max="38" width="13.85546875" style="2" hidden="1" customWidth="1"/>
    <col min="39" max="43" width="13.85546875" style="2" customWidth="1"/>
    <col min="44" max="44" width="11.42578125" style="2"/>
    <col min="45" max="45" width="13.140625" style="2" customWidth="1"/>
    <col min="46" max="46" width="11.42578125" style="29"/>
    <col min="47" max="47" width="11.42578125" style="23"/>
    <col min="48" max="16384" width="11.42578125" style="2"/>
  </cols>
  <sheetData>
    <row r="2" spans="1:48" x14ac:dyDescent="0.2">
      <c r="A2" s="2" t="s">
        <v>80</v>
      </c>
    </row>
    <row r="3" spans="1:48" x14ac:dyDescent="0.2">
      <c r="A3" s="2" t="s">
        <v>0</v>
      </c>
    </row>
    <row r="5" spans="1:48" s="42" customFormat="1" x14ac:dyDescent="0.2">
      <c r="AT5" s="43"/>
      <c r="AU5" s="44"/>
    </row>
    <row r="6" spans="1:48" ht="24" x14ac:dyDescent="0.2">
      <c r="A6" s="35" t="s">
        <v>1</v>
      </c>
      <c r="B6" s="35" t="s">
        <v>2</v>
      </c>
      <c r="C6" s="35" t="s">
        <v>3</v>
      </c>
      <c r="D6" s="35" t="s">
        <v>97</v>
      </c>
      <c r="E6" s="35" t="s">
        <v>4</v>
      </c>
      <c r="F6" s="35" t="s">
        <v>5</v>
      </c>
      <c r="G6" s="35" t="s">
        <v>6</v>
      </c>
      <c r="H6" s="35" t="s">
        <v>104</v>
      </c>
      <c r="I6" s="35" t="s">
        <v>74</v>
      </c>
      <c r="J6" s="35" t="s">
        <v>7</v>
      </c>
      <c r="K6" s="35" t="s">
        <v>8</v>
      </c>
      <c r="L6" s="35" t="s">
        <v>9</v>
      </c>
      <c r="M6" s="35" t="s">
        <v>10</v>
      </c>
      <c r="N6" s="35"/>
      <c r="O6" s="19" t="s">
        <v>11</v>
      </c>
      <c r="P6" s="64" t="s">
        <v>13</v>
      </c>
      <c r="Q6" s="64" t="s">
        <v>14</v>
      </c>
      <c r="R6" s="35" t="s">
        <v>15</v>
      </c>
      <c r="S6" s="35" t="s">
        <v>16</v>
      </c>
      <c r="T6" s="35" t="s">
        <v>17</v>
      </c>
      <c r="U6" s="64" t="s">
        <v>18</v>
      </c>
      <c r="V6" s="36" t="s">
        <v>19</v>
      </c>
      <c r="W6" s="35"/>
      <c r="X6" s="35"/>
      <c r="Y6" s="35"/>
      <c r="Z6" s="35" t="s">
        <v>23</v>
      </c>
      <c r="AA6" s="35" t="s">
        <v>24</v>
      </c>
      <c r="AB6" s="64" t="s">
        <v>25</v>
      </c>
      <c r="AC6" s="35" t="s">
        <v>26</v>
      </c>
      <c r="AD6" s="35" t="s">
        <v>27</v>
      </c>
      <c r="AE6" s="35" t="s">
        <v>28</v>
      </c>
      <c r="AF6" s="35" t="s">
        <v>29</v>
      </c>
      <c r="AG6" s="41"/>
      <c r="AH6" s="35" t="s">
        <v>30</v>
      </c>
      <c r="AI6" s="35" t="s">
        <v>31</v>
      </c>
      <c r="AJ6" s="64" t="s">
        <v>32</v>
      </c>
      <c r="AK6" s="41" t="s">
        <v>75</v>
      </c>
      <c r="AL6" s="35"/>
      <c r="AM6" s="35" t="s">
        <v>83</v>
      </c>
      <c r="AN6" s="73" t="s">
        <v>107</v>
      </c>
      <c r="AO6" s="35" t="s">
        <v>90</v>
      </c>
      <c r="AP6" s="73" t="s">
        <v>100</v>
      </c>
      <c r="AQ6" s="35" t="s">
        <v>95</v>
      </c>
      <c r="AR6" s="36" t="s">
        <v>77</v>
      </c>
      <c r="AS6" s="36" t="s">
        <v>88</v>
      </c>
      <c r="AT6" s="35" t="s">
        <v>33</v>
      </c>
      <c r="AU6" s="22" t="s">
        <v>34</v>
      </c>
    </row>
    <row r="8" spans="1:48" x14ac:dyDescent="0.2">
      <c r="A8" s="2" t="s">
        <v>36</v>
      </c>
      <c r="B8" s="2">
        <v>313000</v>
      </c>
      <c r="C8" s="2">
        <v>105500</v>
      </c>
      <c r="D8" s="25">
        <v>56750</v>
      </c>
      <c r="E8" s="2">
        <v>88650</v>
      </c>
      <c r="F8" s="2">
        <v>272900</v>
      </c>
      <c r="G8" s="2">
        <v>50943.5</v>
      </c>
      <c r="H8" s="2">
        <v>19000</v>
      </c>
      <c r="I8" s="2">
        <v>464900</v>
      </c>
      <c r="J8" s="2">
        <v>188716.64</v>
      </c>
      <c r="K8" s="2">
        <v>19000</v>
      </c>
      <c r="L8" s="2">
        <v>88299.989999999991</v>
      </c>
      <c r="M8" s="6">
        <v>53600</v>
      </c>
      <c r="R8" s="2">
        <v>97750</v>
      </c>
      <c r="S8" s="2">
        <v>98250</v>
      </c>
      <c r="T8" s="2">
        <v>55750</v>
      </c>
      <c r="V8" s="2">
        <v>54000</v>
      </c>
      <c r="Z8" s="2">
        <v>36000</v>
      </c>
      <c r="AA8" s="2">
        <v>38000</v>
      </c>
      <c r="AC8" s="2">
        <v>86500</v>
      </c>
      <c r="AD8" s="2">
        <v>38000</v>
      </c>
      <c r="AE8" s="2">
        <v>19500</v>
      </c>
      <c r="AF8" s="2">
        <v>84500</v>
      </c>
      <c r="AH8" s="2">
        <v>252500</v>
      </c>
      <c r="AI8" s="2">
        <v>55750</v>
      </c>
      <c r="AK8" s="2">
        <v>57200</v>
      </c>
      <c r="AM8" s="2">
        <v>61500</v>
      </c>
      <c r="AO8" s="2">
        <v>18500</v>
      </c>
      <c r="AP8" s="2">
        <v>232000</v>
      </c>
      <c r="AQ8" s="2">
        <v>18700</v>
      </c>
      <c r="AR8" s="2">
        <v>1450</v>
      </c>
      <c r="AT8" s="29">
        <f>SUM(B8:AS8)</f>
        <v>3027110.13</v>
      </c>
      <c r="AU8" s="23">
        <v>1</v>
      </c>
    </row>
    <row r="9" spans="1:48" x14ac:dyDescent="0.2">
      <c r="A9" s="2" t="s">
        <v>94</v>
      </c>
      <c r="M9" s="6">
        <v>21600</v>
      </c>
      <c r="AT9" s="29">
        <f>SUM(B9:AS9)</f>
        <v>21600</v>
      </c>
      <c r="AU9" s="23">
        <v>0</v>
      </c>
    </row>
    <row r="10" spans="1:48" x14ac:dyDescent="0.2">
      <c r="AT10" s="29">
        <f>SUM(B10:AS10)</f>
        <v>0</v>
      </c>
      <c r="AU10" s="23">
        <v>0</v>
      </c>
    </row>
    <row r="11" spans="1:48" x14ac:dyDescent="0.2">
      <c r="AT11" s="29">
        <f>SUM(B11:AS11)</f>
        <v>0</v>
      </c>
      <c r="AU11" s="23">
        <v>0</v>
      </c>
    </row>
    <row r="12" spans="1:48" x14ac:dyDescent="0.2">
      <c r="AT12" s="29">
        <f>SUM(B12:AS12)</f>
        <v>0</v>
      </c>
      <c r="AU12" s="23">
        <v>0</v>
      </c>
    </row>
    <row r="13" spans="1:48" ht="12.75" thickBot="1" x14ac:dyDescent="0.25">
      <c r="A13" s="14" t="s">
        <v>37</v>
      </c>
      <c r="B13" s="14">
        <f>SUM(B8:B12)</f>
        <v>313000</v>
      </c>
      <c r="C13" s="14">
        <f t="shared" ref="C13:AS13" si="0">SUM(C8:C12)</f>
        <v>105500</v>
      </c>
      <c r="D13" s="14">
        <f t="shared" si="0"/>
        <v>56750</v>
      </c>
      <c r="E13" s="14">
        <f t="shared" si="0"/>
        <v>88650</v>
      </c>
      <c r="F13" s="14">
        <f t="shared" si="0"/>
        <v>272900</v>
      </c>
      <c r="G13" s="14">
        <f t="shared" si="0"/>
        <v>50943.5</v>
      </c>
      <c r="H13" s="14">
        <f t="shared" si="0"/>
        <v>19000</v>
      </c>
      <c r="I13" s="14">
        <f t="shared" si="0"/>
        <v>464900</v>
      </c>
      <c r="J13" s="14">
        <f t="shared" si="0"/>
        <v>188716.64</v>
      </c>
      <c r="K13" s="14">
        <f t="shared" si="0"/>
        <v>19000</v>
      </c>
      <c r="L13" s="14">
        <f t="shared" si="0"/>
        <v>88299.989999999991</v>
      </c>
      <c r="M13" s="14">
        <f t="shared" si="0"/>
        <v>75200</v>
      </c>
      <c r="N13" s="14">
        <f t="shared" si="0"/>
        <v>0</v>
      </c>
      <c r="O13" s="14">
        <f t="shared" si="0"/>
        <v>0</v>
      </c>
      <c r="P13" s="14">
        <f t="shared" si="0"/>
        <v>0</v>
      </c>
      <c r="Q13" s="14">
        <f t="shared" si="0"/>
        <v>0</v>
      </c>
      <c r="R13" s="14">
        <f t="shared" si="0"/>
        <v>97750</v>
      </c>
      <c r="S13" s="14">
        <f t="shared" si="0"/>
        <v>98250</v>
      </c>
      <c r="T13" s="14">
        <f t="shared" si="0"/>
        <v>55750</v>
      </c>
      <c r="U13" s="14">
        <f t="shared" si="0"/>
        <v>0</v>
      </c>
      <c r="V13" s="14">
        <f t="shared" si="0"/>
        <v>54000</v>
      </c>
      <c r="W13" s="14">
        <f t="shared" si="0"/>
        <v>0</v>
      </c>
      <c r="X13" s="14">
        <f t="shared" si="0"/>
        <v>0</v>
      </c>
      <c r="Y13" s="14">
        <f t="shared" si="0"/>
        <v>0</v>
      </c>
      <c r="Z13" s="14">
        <f t="shared" si="0"/>
        <v>36000</v>
      </c>
      <c r="AA13" s="14">
        <f t="shared" si="0"/>
        <v>38000</v>
      </c>
      <c r="AB13" s="14">
        <f t="shared" si="0"/>
        <v>0</v>
      </c>
      <c r="AC13" s="14">
        <f t="shared" si="0"/>
        <v>86500</v>
      </c>
      <c r="AD13" s="14">
        <f t="shared" si="0"/>
        <v>38000</v>
      </c>
      <c r="AE13" s="14">
        <f t="shared" si="0"/>
        <v>19500</v>
      </c>
      <c r="AF13" s="14">
        <f t="shared" si="0"/>
        <v>84500</v>
      </c>
      <c r="AG13" s="14">
        <f t="shared" si="0"/>
        <v>0</v>
      </c>
      <c r="AH13" s="14">
        <f t="shared" si="0"/>
        <v>252500</v>
      </c>
      <c r="AI13" s="14">
        <f t="shared" si="0"/>
        <v>55750</v>
      </c>
      <c r="AJ13" s="14">
        <f t="shared" si="0"/>
        <v>0</v>
      </c>
      <c r="AK13" s="14">
        <f t="shared" si="0"/>
        <v>57200</v>
      </c>
      <c r="AL13" s="14">
        <f t="shared" si="0"/>
        <v>0</v>
      </c>
      <c r="AM13" s="14">
        <f t="shared" si="0"/>
        <v>61500</v>
      </c>
      <c r="AN13" s="14">
        <f t="shared" si="0"/>
        <v>0</v>
      </c>
      <c r="AO13" s="14">
        <f t="shared" si="0"/>
        <v>18500</v>
      </c>
      <c r="AP13" s="14">
        <f t="shared" si="0"/>
        <v>232000</v>
      </c>
      <c r="AQ13" s="14">
        <f t="shared" si="0"/>
        <v>18700</v>
      </c>
      <c r="AR13" s="14">
        <f t="shared" si="0"/>
        <v>1450</v>
      </c>
      <c r="AS13" s="14">
        <f t="shared" si="0"/>
        <v>0</v>
      </c>
      <c r="AT13" s="14">
        <f>SUM(AT8:AT12)</f>
        <v>3048710.13</v>
      </c>
      <c r="AU13" s="10">
        <f>SUM(AU8:AU12)</f>
        <v>1</v>
      </c>
    </row>
    <row r="14" spans="1:48" ht="12.75" thickTop="1" x14ac:dyDescent="0.2"/>
    <row r="15" spans="1:48" x14ac:dyDescent="0.2">
      <c r="A15" s="2" t="s">
        <v>39</v>
      </c>
      <c r="B15" s="25">
        <v>131468.53999999998</v>
      </c>
      <c r="C15" s="25">
        <v>4925.7700000000004</v>
      </c>
      <c r="D15" s="25">
        <v>28992.880000000005</v>
      </c>
      <c r="E15" s="25">
        <v>44219.56</v>
      </c>
      <c r="F15" s="25">
        <v>117448.87</v>
      </c>
      <c r="G15" s="25">
        <v>29806.320000000007</v>
      </c>
      <c r="H15" s="25"/>
      <c r="I15" s="25">
        <v>169692.98999999987</v>
      </c>
      <c r="J15" s="25">
        <v>94749.599999999977</v>
      </c>
      <c r="K15" s="25">
        <v>8805</v>
      </c>
      <c r="L15" s="25">
        <v>46140.34</v>
      </c>
      <c r="M15" s="25">
        <v>28142.839999999997</v>
      </c>
      <c r="N15" s="25"/>
      <c r="O15" s="25"/>
      <c r="P15" s="25"/>
      <c r="Q15" s="25"/>
      <c r="R15" s="25">
        <v>43541.940000000031</v>
      </c>
      <c r="S15" s="25">
        <v>46950.459999999992</v>
      </c>
      <c r="T15" s="25">
        <v>22879.499999999985</v>
      </c>
      <c r="U15" s="25"/>
      <c r="V15" s="25">
        <v>27930.5</v>
      </c>
      <c r="W15" s="25"/>
      <c r="X15" s="25"/>
      <c r="Y15" s="25"/>
      <c r="Z15" s="25">
        <v>17698</v>
      </c>
      <c r="AA15" s="25">
        <v>19887.840000000011</v>
      </c>
      <c r="AB15" s="25"/>
      <c r="AC15" s="25">
        <v>35475.440000000002</v>
      </c>
      <c r="AD15" s="25">
        <v>20248.179999999993</v>
      </c>
      <c r="AE15" s="25">
        <v>8805</v>
      </c>
      <c r="AF15" s="25">
        <v>35877.459999999992</v>
      </c>
      <c r="AG15" s="25"/>
      <c r="AH15" s="25">
        <v>123940.5</v>
      </c>
      <c r="AI15" s="25">
        <v>13439.5</v>
      </c>
      <c r="AJ15" s="25"/>
      <c r="AK15" s="25">
        <v>27802.87999999999</v>
      </c>
      <c r="AL15" s="25"/>
      <c r="AM15" s="25">
        <v>11138.14</v>
      </c>
      <c r="AN15" s="25"/>
      <c r="AO15" s="25">
        <v>9085</v>
      </c>
      <c r="AP15" s="25">
        <v>83157.330000000016</v>
      </c>
      <c r="AQ15" s="25">
        <v>16500.78</v>
      </c>
      <c r="AR15" s="25"/>
      <c r="AS15" s="25">
        <v>318990.43</v>
      </c>
      <c r="AT15" s="30">
        <f t="shared" ref="AT15:AT44" si="1">SUM(B15:AS15)</f>
        <v>1587741.5899999996</v>
      </c>
      <c r="AU15" s="23">
        <v>0.76512851986354535</v>
      </c>
      <c r="AV15" s="2" t="s">
        <v>68</v>
      </c>
    </row>
    <row r="16" spans="1:48" x14ac:dyDescent="0.2">
      <c r="A16" s="2" t="s">
        <v>40</v>
      </c>
      <c r="B16" s="25">
        <v>16280.529999999999</v>
      </c>
      <c r="C16" s="25">
        <v>633.16999999999996</v>
      </c>
      <c r="D16" s="25">
        <v>3222.7899999999991</v>
      </c>
      <c r="E16" s="25">
        <v>5475.07</v>
      </c>
      <c r="F16" s="25">
        <v>12660.060000000005</v>
      </c>
      <c r="G16" s="25">
        <v>3271.2899999999991</v>
      </c>
      <c r="H16" s="25"/>
      <c r="I16" s="25">
        <v>23684.979999999996</v>
      </c>
      <c r="J16" s="25">
        <v>11572.809999999998</v>
      </c>
      <c r="K16" s="25">
        <v>1076.8699999999994</v>
      </c>
      <c r="L16" s="25">
        <v>5954.7000000000007</v>
      </c>
      <c r="M16" s="25">
        <v>3311.6999999999989</v>
      </c>
      <c r="N16" s="25"/>
      <c r="O16" s="25"/>
      <c r="P16" s="25"/>
      <c r="Q16" s="25"/>
      <c r="R16" s="25">
        <v>5398.68</v>
      </c>
      <c r="S16" s="25">
        <v>5986.0299999999988</v>
      </c>
      <c r="T16" s="25">
        <v>2201.2899999999991</v>
      </c>
      <c r="U16" s="25"/>
      <c r="V16" s="25">
        <v>3287.2099999999991</v>
      </c>
      <c r="W16" s="25"/>
      <c r="X16" s="25"/>
      <c r="Y16" s="25"/>
      <c r="Z16" s="25">
        <v>2158.5100000000002</v>
      </c>
      <c r="AA16" s="25">
        <v>2221.3099999999995</v>
      </c>
      <c r="AB16" s="25"/>
      <c r="AC16" s="25">
        <v>4358.1000000000022</v>
      </c>
      <c r="AD16" s="25">
        <v>2166.2999999999993</v>
      </c>
      <c r="AE16" s="25">
        <v>1081.1100000000006</v>
      </c>
      <c r="AF16" s="25">
        <v>4497.6500000000015</v>
      </c>
      <c r="AG16" s="25"/>
      <c r="AH16" s="25">
        <v>13816.050000000003</v>
      </c>
      <c r="AI16" s="25">
        <v>1761.3500000000004</v>
      </c>
      <c r="AJ16" s="25"/>
      <c r="AK16" s="25">
        <v>3275.3599999999988</v>
      </c>
      <c r="AL16" s="25"/>
      <c r="AM16" s="25">
        <v>1075.2000000000007</v>
      </c>
      <c r="AN16" s="25"/>
      <c r="AO16" s="25">
        <v>1080.67</v>
      </c>
      <c r="AP16" s="25">
        <v>11680.129999999997</v>
      </c>
      <c r="AQ16" s="25">
        <v>1744.2700000000004</v>
      </c>
      <c r="AR16" s="25"/>
      <c r="AS16" s="25">
        <v>53559.63</v>
      </c>
      <c r="AT16" s="30">
        <f t="shared" si="1"/>
        <v>208492.82000000004</v>
      </c>
      <c r="AU16" s="23">
        <v>9.8733233939265794E-2</v>
      </c>
      <c r="AV16" s="2" t="s">
        <v>68</v>
      </c>
    </row>
    <row r="17" spans="1:48" x14ac:dyDescent="0.2">
      <c r="A17" s="2" t="s">
        <v>41</v>
      </c>
      <c r="B17" s="25">
        <v>11777.240000000005</v>
      </c>
      <c r="C17" s="25">
        <v>594.58000000000004</v>
      </c>
      <c r="D17" s="25">
        <v>2340.88</v>
      </c>
      <c r="E17" s="25">
        <v>3938.5</v>
      </c>
      <c r="F17" s="25">
        <v>9469.3099999999977</v>
      </c>
      <c r="G17" s="25">
        <v>2375.83</v>
      </c>
      <c r="H17" s="25"/>
      <c r="I17" s="25">
        <v>16880.370000000003</v>
      </c>
      <c r="J17" s="25">
        <v>7645.7100000000028</v>
      </c>
      <c r="K17" s="25">
        <v>784.11000000000013</v>
      </c>
      <c r="L17" s="25">
        <v>4484.6899999999987</v>
      </c>
      <c r="M17" s="25">
        <v>2432.5999999999995</v>
      </c>
      <c r="N17" s="25"/>
      <c r="O17" s="25"/>
      <c r="P17" s="25"/>
      <c r="Q17" s="25"/>
      <c r="R17" s="25">
        <v>3856.4900000000016</v>
      </c>
      <c r="S17" s="25">
        <v>4009.5399999999991</v>
      </c>
      <c r="T17" s="25">
        <v>1647.79</v>
      </c>
      <c r="U17" s="25"/>
      <c r="V17" s="25">
        <v>2445.4899999999998</v>
      </c>
      <c r="W17" s="25"/>
      <c r="X17" s="25"/>
      <c r="Y17" s="25"/>
      <c r="Z17" s="25">
        <v>1561.1000000000004</v>
      </c>
      <c r="AA17" s="25">
        <v>1650.3600000000006</v>
      </c>
      <c r="AB17" s="25"/>
      <c r="AC17" s="25">
        <v>3174.1899999999987</v>
      </c>
      <c r="AD17" s="25">
        <v>1577.5</v>
      </c>
      <c r="AE17" s="25">
        <v>783.41999999999962</v>
      </c>
      <c r="AF17" s="25">
        <v>3529.2099999999991</v>
      </c>
      <c r="AG17" s="25"/>
      <c r="AH17" s="25">
        <v>9772.8499999999985</v>
      </c>
      <c r="AI17" s="25">
        <v>1769.1799999999998</v>
      </c>
      <c r="AJ17" s="25"/>
      <c r="AK17" s="25">
        <v>2393.87</v>
      </c>
      <c r="AL17" s="25"/>
      <c r="AM17" s="25">
        <v>802.18999999999869</v>
      </c>
      <c r="AN17" s="25"/>
      <c r="AO17" s="25">
        <v>786.83000000000038</v>
      </c>
      <c r="AP17" s="25">
        <v>7828.0499999999993</v>
      </c>
      <c r="AQ17" s="25">
        <v>977.57999999999993</v>
      </c>
      <c r="AR17" s="25"/>
      <c r="AS17" s="25">
        <v>14350.46</v>
      </c>
      <c r="AT17" s="30">
        <f t="shared" si="1"/>
        <v>125639.92000000001</v>
      </c>
      <c r="AU17" s="23">
        <v>5.591106383370574E-2</v>
      </c>
      <c r="AV17" s="2" t="s">
        <v>68</v>
      </c>
    </row>
    <row r="18" spans="1:48" x14ac:dyDescent="0.2">
      <c r="A18" s="2" t="s">
        <v>42</v>
      </c>
      <c r="B18" s="25">
        <v>6940.0499999999993</v>
      </c>
      <c r="C18" s="25">
        <v>352.57</v>
      </c>
      <c r="D18" s="25">
        <v>1388.1</v>
      </c>
      <c r="E18" s="25">
        <v>2335.4600000000009</v>
      </c>
      <c r="F18" s="25">
        <v>5786.43</v>
      </c>
      <c r="G18" s="25">
        <v>1408.83</v>
      </c>
      <c r="H18" s="25"/>
      <c r="I18" s="25">
        <v>9994</v>
      </c>
      <c r="J18" s="25">
        <v>4533.7700000000004</v>
      </c>
      <c r="K18" s="25">
        <v>464.97</v>
      </c>
      <c r="L18" s="25">
        <v>2750.66</v>
      </c>
      <c r="M18" s="25">
        <v>1438.58</v>
      </c>
      <c r="N18" s="25"/>
      <c r="O18" s="25"/>
      <c r="P18" s="25"/>
      <c r="Q18" s="25"/>
      <c r="R18" s="25">
        <v>2282.7200000000012</v>
      </c>
      <c r="S18" s="25">
        <v>2377.579999999999</v>
      </c>
      <c r="T18" s="25">
        <v>977.11000000000058</v>
      </c>
      <c r="U18" s="25"/>
      <c r="V18" s="25">
        <v>1446.2399999999998</v>
      </c>
      <c r="W18" s="25"/>
      <c r="X18" s="25"/>
      <c r="Y18" s="25"/>
      <c r="Z18" s="25">
        <v>925.71</v>
      </c>
      <c r="AA18" s="25">
        <v>974.73999999999978</v>
      </c>
      <c r="AB18" s="25"/>
      <c r="AC18" s="25">
        <v>1882.2300000000005</v>
      </c>
      <c r="AD18" s="25">
        <v>935.42000000000007</v>
      </c>
      <c r="AE18" s="25">
        <v>464.54999999999995</v>
      </c>
      <c r="AF18" s="25">
        <v>2092.7599999999993</v>
      </c>
      <c r="AG18" s="25"/>
      <c r="AH18" s="25">
        <v>5795.0999999999985</v>
      </c>
      <c r="AI18" s="25">
        <v>1049.0899999999999</v>
      </c>
      <c r="AJ18" s="25"/>
      <c r="AK18" s="25">
        <v>1419.5200000000004</v>
      </c>
      <c r="AL18" s="25"/>
      <c r="AM18" s="25">
        <v>475.67999999999938</v>
      </c>
      <c r="AN18" s="25"/>
      <c r="AO18" s="25">
        <v>466.56999999999971</v>
      </c>
      <c r="AP18" s="25">
        <v>4641.869999999999</v>
      </c>
      <c r="AQ18" s="25">
        <v>579.68999999999983</v>
      </c>
      <c r="AR18" s="25"/>
      <c r="AS18" s="25">
        <v>8025.53</v>
      </c>
      <c r="AT18" s="30">
        <f t="shared" si="1"/>
        <v>74205.53</v>
      </c>
      <c r="AU18" s="23">
        <v>3.6887458338734309E-2</v>
      </c>
      <c r="AV18" s="2" t="s">
        <v>68</v>
      </c>
    </row>
    <row r="19" spans="1:48" x14ac:dyDescent="0.2">
      <c r="A19" s="2" t="s">
        <v>43</v>
      </c>
      <c r="B19" s="25">
        <v>6066.3300000000017</v>
      </c>
      <c r="C19" s="25">
        <v>227.29</v>
      </c>
      <c r="D19" s="25">
        <v>1337.81</v>
      </c>
      <c r="E19" s="25">
        <v>2040.4199999999992</v>
      </c>
      <c r="F19" s="25">
        <v>5419.43</v>
      </c>
      <c r="G19" s="25">
        <v>1375.3500000000004</v>
      </c>
      <c r="H19" s="25"/>
      <c r="I19" s="25">
        <v>7830.119999999999</v>
      </c>
      <c r="J19" s="25">
        <v>4372.0199999999986</v>
      </c>
      <c r="K19" s="25">
        <v>406.28999999999996</v>
      </c>
      <c r="L19" s="25">
        <v>2129.0500000000002</v>
      </c>
      <c r="M19" s="25">
        <v>1298.5899999999997</v>
      </c>
      <c r="N19" s="25"/>
      <c r="O19" s="25"/>
      <c r="P19" s="25"/>
      <c r="Q19" s="25"/>
      <c r="R19" s="25">
        <v>2009.1499999999996</v>
      </c>
      <c r="S19" s="25">
        <v>2166.4300000000003</v>
      </c>
      <c r="T19" s="25">
        <v>1055.73</v>
      </c>
      <c r="U19" s="25"/>
      <c r="V19" s="25">
        <v>1288.79</v>
      </c>
      <c r="W19" s="25"/>
      <c r="X19" s="25"/>
      <c r="Y19" s="25"/>
      <c r="Z19" s="25">
        <v>816.64000000000033</v>
      </c>
      <c r="AA19" s="25">
        <v>917.67999999999984</v>
      </c>
      <c r="AB19" s="25"/>
      <c r="AC19" s="25">
        <v>1636.9400000000005</v>
      </c>
      <c r="AD19" s="25">
        <v>934.31</v>
      </c>
      <c r="AE19" s="25">
        <v>406.28999999999996</v>
      </c>
      <c r="AF19" s="25">
        <v>1655.4899999999998</v>
      </c>
      <c r="AG19" s="25"/>
      <c r="AH19" s="25">
        <v>5718.9700000000012</v>
      </c>
      <c r="AI19" s="25">
        <v>620.1400000000001</v>
      </c>
      <c r="AJ19" s="25"/>
      <c r="AK19" s="25">
        <v>1282.8999999999996</v>
      </c>
      <c r="AL19" s="25"/>
      <c r="AM19" s="25">
        <v>513.95000000000027</v>
      </c>
      <c r="AN19" s="25"/>
      <c r="AO19" s="25">
        <v>419.21000000000004</v>
      </c>
      <c r="AP19" s="25">
        <v>3837.1200000000008</v>
      </c>
      <c r="AQ19" s="25">
        <v>761.38999999999987</v>
      </c>
      <c r="AR19" s="25"/>
      <c r="AS19" s="25">
        <v>9112.2099999999991</v>
      </c>
      <c r="AT19" s="30">
        <f t="shared" si="1"/>
        <v>67656.040000000008</v>
      </c>
      <c r="AU19" s="23">
        <v>2.2892764994063858E-2</v>
      </c>
    </row>
    <row r="20" spans="1:48" x14ac:dyDescent="0.2">
      <c r="A20" s="2" t="s">
        <v>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/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/>
      <c r="O20" s="25"/>
      <c r="P20" s="25"/>
      <c r="Q20" s="25"/>
      <c r="R20" s="25">
        <v>0</v>
      </c>
      <c r="S20" s="25">
        <v>0</v>
      </c>
      <c r="T20" s="25">
        <v>0</v>
      </c>
      <c r="U20" s="25"/>
      <c r="V20" s="25">
        <v>0</v>
      </c>
      <c r="W20" s="25"/>
      <c r="X20" s="25"/>
      <c r="Y20" s="25"/>
      <c r="Z20" s="25">
        <v>0</v>
      </c>
      <c r="AA20" s="25">
        <v>0</v>
      </c>
      <c r="AB20" s="25"/>
      <c r="AC20" s="25">
        <v>0</v>
      </c>
      <c r="AD20" s="25">
        <v>0</v>
      </c>
      <c r="AE20" s="25">
        <v>0</v>
      </c>
      <c r="AF20" s="25">
        <v>0</v>
      </c>
      <c r="AG20" s="25"/>
      <c r="AH20" s="25">
        <v>0</v>
      </c>
      <c r="AI20" s="25">
        <v>0</v>
      </c>
      <c r="AJ20" s="25"/>
      <c r="AK20" s="25">
        <v>0</v>
      </c>
      <c r="AL20" s="25"/>
      <c r="AM20" s="25">
        <v>0</v>
      </c>
      <c r="AN20" s="25"/>
      <c r="AO20" s="25">
        <v>0</v>
      </c>
      <c r="AP20" s="25">
        <v>0</v>
      </c>
      <c r="AQ20" s="25">
        <v>0</v>
      </c>
      <c r="AR20" s="25"/>
      <c r="AS20" s="25">
        <v>1415.57</v>
      </c>
      <c r="AT20" s="30">
        <f t="shared" si="1"/>
        <v>1415.57</v>
      </c>
      <c r="AU20" s="23">
        <v>0</v>
      </c>
    </row>
    <row r="21" spans="1:48" x14ac:dyDescent="0.2">
      <c r="A21" s="2" t="s">
        <v>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/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/>
      <c r="O21" s="25"/>
      <c r="P21" s="25"/>
      <c r="Q21" s="25"/>
      <c r="R21" s="25">
        <v>0</v>
      </c>
      <c r="S21" s="25">
        <v>0</v>
      </c>
      <c r="T21" s="25">
        <v>0</v>
      </c>
      <c r="U21" s="25"/>
      <c r="V21" s="25">
        <v>0</v>
      </c>
      <c r="W21" s="25"/>
      <c r="X21" s="25"/>
      <c r="Y21" s="25"/>
      <c r="Z21" s="25">
        <v>0</v>
      </c>
      <c r="AA21" s="25">
        <v>0</v>
      </c>
      <c r="AB21" s="25"/>
      <c r="AC21" s="25">
        <v>0</v>
      </c>
      <c r="AD21" s="25">
        <v>0</v>
      </c>
      <c r="AE21" s="25">
        <v>0</v>
      </c>
      <c r="AF21" s="25">
        <v>0</v>
      </c>
      <c r="AG21" s="25"/>
      <c r="AH21" s="25">
        <v>0</v>
      </c>
      <c r="AI21" s="25">
        <v>0</v>
      </c>
      <c r="AJ21" s="25"/>
      <c r="AK21" s="25">
        <v>0</v>
      </c>
      <c r="AL21" s="25"/>
      <c r="AM21" s="25">
        <v>0</v>
      </c>
      <c r="AN21" s="25"/>
      <c r="AO21" s="25">
        <v>0</v>
      </c>
      <c r="AP21" s="25">
        <v>0</v>
      </c>
      <c r="AQ21" s="25">
        <v>0</v>
      </c>
      <c r="AR21" s="25"/>
      <c r="AS21" s="25">
        <v>2407.8000000000002</v>
      </c>
      <c r="AT21" s="30">
        <f t="shared" si="1"/>
        <v>2407.8000000000002</v>
      </c>
      <c r="AU21" s="23">
        <v>0</v>
      </c>
    </row>
    <row r="22" spans="1:48" x14ac:dyDescent="0.2">
      <c r="A22" s="2" t="s">
        <v>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/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/>
      <c r="O22" s="25"/>
      <c r="P22" s="25"/>
      <c r="Q22" s="25"/>
      <c r="R22" s="25">
        <v>0</v>
      </c>
      <c r="S22" s="25">
        <v>0</v>
      </c>
      <c r="T22" s="25">
        <v>0</v>
      </c>
      <c r="U22" s="25"/>
      <c r="V22" s="25">
        <v>0</v>
      </c>
      <c r="W22" s="25"/>
      <c r="X22" s="25"/>
      <c r="Y22" s="25"/>
      <c r="Z22" s="25">
        <v>0</v>
      </c>
      <c r="AA22" s="25">
        <v>0</v>
      </c>
      <c r="AB22" s="25"/>
      <c r="AC22" s="25">
        <v>0</v>
      </c>
      <c r="AD22" s="25">
        <v>0</v>
      </c>
      <c r="AE22" s="25">
        <v>0</v>
      </c>
      <c r="AF22" s="25">
        <v>0</v>
      </c>
      <c r="AG22" s="25"/>
      <c r="AH22" s="25">
        <v>0</v>
      </c>
      <c r="AI22" s="25">
        <v>0</v>
      </c>
      <c r="AJ22" s="25"/>
      <c r="AK22" s="25">
        <v>0</v>
      </c>
      <c r="AL22" s="25"/>
      <c r="AM22" s="25">
        <v>0</v>
      </c>
      <c r="AN22" s="25"/>
      <c r="AO22" s="25">
        <v>0</v>
      </c>
      <c r="AP22" s="25">
        <v>0</v>
      </c>
      <c r="AQ22" s="25">
        <v>0</v>
      </c>
      <c r="AR22" s="25"/>
      <c r="AS22" s="25">
        <v>0</v>
      </c>
      <c r="AT22" s="30">
        <f t="shared" si="1"/>
        <v>0</v>
      </c>
      <c r="AU22" s="23">
        <v>0</v>
      </c>
    </row>
    <row r="23" spans="1:48" x14ac:dyDescent="0.2">
      <c r="A23" s="2" t="s">
        <v>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/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/>
      <c r="O23" s="25"/>
      <c r="P23" s="25"/>
      <c r="Q23" s="25"/>
      <c r="R23" s="25">
        <v>0</v>
      </c>
      <c r="S23" s="25">
        <v>0</v>
      </c>
      <c r="T23" s="25">
        <v>0</v>
      </c>
      <c r="U23" s="25"/>
      <c r="V23" s="25">
        <v>0</v>
      </c>
      <c r="W23" s="25"/>
      <c r="X23" s="25"/>
      <c r="Y23" s="25"/>
      <c r="Z23" s="25">
        <v>0</v>
      </c>
      <c r="AA23" s="25">
        <v>0</v>
      </c>
      <c r="AB23" s="25"/>
      <c r="AC23" s="25">
        <v>0</v>
      </c>
      <c r="AD23" s="25">
        <v>0</v>
      </c>
      <c r="AE23" s="25">
        <v>0</v>
      </c>
      <c r="AF23" s="25">
        <v>0</v>
      </c>
      <c r="AG23" s="25"/>
      <c r="AH23" s="25">
        <v>0</v>
      </c>
      <c r="AI23" s="25">
        <v>0</v>
      </c>
      <c r="AJ23" s="25"/>
      <c r="AK23" s="25">
        <v>0</v>
      </c>
      <c r="AL23" s="25"/>
      <c r="AM23" s="25">
        <v>0</v>
      </c>
      <c r="AN23" s="25"/>
      <c r="AO23" s="25">
        <v>0</v>
      </c>
      <c r="AP23" s="25">
        <v>0</v>
      </c>
      <c r="AQ23" s="25">
        <v>0</v>
      </c>
      <c r="AR23" s="25"/>
      <c r="AS23" s="25">
        <v>0</v>
      </c>
      <c r="AT23" s="30">
        <f t="shared" si="1"/>
        <v>0</v>
      </c>
      <c r="AU23" s="23">
        <v>0</v>
      </c>
    </row>
    <row r="24" spans="1:48" x14ac:dyDescent="0.2">
      <c r="A24" s="2" t="s">
        <v>48</v>
      </c>
      <c r="B24" s="25">
        <v>283.61999999999989</v>
      </c>
      <c r="C24" s="25">
        <v>283.61999999999989</v>
      </c>
      <c r="D24" s="25">
        <v>283.62</v>
      </c>
      <c r="E24" s="25">
        <v>283.61999999999989</v>
      </c>
      <c r="F24" s="25">
        <v>283.61999999999989</v>
      </c>
      <c r="G24" s="25">
        <v>283.61999999999989</v>
      </c>
      <c r="H24" s="25"/>
      <c r="I24" s="25">
        <v>283.62</v>
      </c>
      <c r="J24" s="25">
        <v>283.61999999999989</v>
      </c>
      <c r="K24" s="25">
        <v>0</v>
      </c>
      <c r="L24" s="25">
        <v>283.61999999999989</v>
      </c>
      <c r="M24" s="25">
        <v>283.61999999999989</v>
      </c>
      <c r="N24" s="25"/>
      <c r="O24" s="25"/>
      <c r="P24" s="25"/>
      <c r="Q24" s="25"/>
      <c r="R24" s="25">
        <v>567.23999999999978</v>
      </c>
      <c r="S24" s="25">
        <v>283.61999999999989</v>
      </c>
      <c r="T24" s="25">
        <v>283.61999999999989</v>
      </c>
      <c r="U24" s="25"/>
      <c r="V24" s="25">
        <v>283.61999999999989</v>
      </c>
      <c r="W24" s="25"/>
      <c r="X24" s="25"/>
      <c r="Y24" s="25"/>
      <c r="Z24" s="25">
        <v>283.61999999999989</v>
      </c>
      <c r="AA24" s="25">
        <v>283.61999999999989</v>
      </c>
      <c r="AB24" s="25"/>
      <c r="AC24" s="25">
        <v>283.61999999999989</v>
      </c>
      <c r="AD24" s="25">
        <v>283.61999999999989</v>
      </c>
      <c r="AE24" s="25">
        <v>283.61999999999989</v>
      </c>
      <c r="AF24" s="25">
        <v>567.23999999999978</v>
      </c>
      <c r="AG24" s="25"/>
      <c r="AH24" s="25">
        <v>283.61999999999989</v>
      </c>
      <c r="AI24" s="25">
        <v>283.61999999999989</v>
      </c>
      <c r="AJ24" s="25"/>
      <c r="AK24" s="25">
        <v>283.61999999999989</v>
      </c>
      <c r="AL24" s="25"/>
      <c r="AM24" s="25">
        <v>283.61999999999989</v>
      </c>
      <c r="AN24" s="25"/>
      <c r="AO24" s="25">
        <v>283.61999999999989</v>
      </c>
      <c r="AP24" s="25">
        <v>567.23999999999978</v>
      </c>
      <c r="AQ24" s="25">
        <v>283.61999999999989</v>
      </c>
      <c r="AR24" s="25"/>
      <c r="AS24" s="25">
        <v>3180.2</v>
      </c>
      <c r="AT24" s="30">
        <f t="shared" si="1"/>
        <v>11688.799999999996</v>
      </c>
      <c r="AU24" s="23">
        <v>6.3818752440651183E-3</v>
      </c>
    </row>
    <row r="25" spans="1:48" x14ac:dyDescent="0.2">
      <c r="A25" s="2" t="s">
        <v>49</v>
      </c>
      <c r="B25" s="25">
        <v>265.83999999999992</v>
      </c>
      <c r="C25" s="25">
        <v>17.600000000000023</v>
      </c>
      <c r="D25" s="25">
        <v>53.72</v>
      </c>
      <c r="E25" s="25">
        <v>65.709999999999923</v>
      </c>
      <c r="F25" s="25">
        <v>213.54999999999995</v>
      </c>
      <c r="G25" s="25">
        <v>46.04000000000002</v>
      </c>
      <c r="H25" s="25"/>
      <c r="I25" s="25">
        <v>251.91000000000008</v>
      </c>
      <c r="J25" s="25">
        <v>130.74</v>
      </c>
      <c r="K25" s="25">
        <v>117.36000000000001</v>
      </c>
      <c r="L25" s="25">
        <v>0</v>
      </c>
      <c r="M25" s="25">
        <v>35.610000000000014</v>
      </c>
      <c r="N25" s="25"/>
      <c r="O25" s="25"/>
      <c r="P25" s="25"/>
      <c r="Q25" s="25"/>
      <c r="R25" s="25">
        <v>113.28999999999996</v>
      </c>
      <c r="S25" s="25">
        <v>46.039999999999964</v>
      </c>
      <c r="T25" s="25">
        <v>13.199999999999932</v>
      </c>
      <c r="U25" s="25"/>
      <c r="V25" s="25">
        <v>0</v>
      </c>
      <c r="W25" s="25"/>
      <c r="X25" s="25"/>
      <c r="Y25" s="25"/>
      <c r="Z25" s="25">
        <v>38.879999999999995</v>
      </c>
      <c r="AA25" s="25">
        <v>273.45999999999992</v>
      </c>
      <c r="AB25" s="25"/>
      <c r="AC25" s="25">
        <v>150.26</v>
      </c>
      <c r="AD25" s="25">
        <v>17.600000000000023</v>
      </c>
      <c r="AE25" s="25">
        <v>0</v>
      </c>
      <c r="AF25" s="25">
        <v>47.42999999999995</v>
      </c>
      <c r="AG25" s="25"/>
      <c r="AH25" s="25">
        <v>155.01</v>
      </c>
      <c r="AI25" s="25">
        <v>83.650000000000091</v>
      </c>
      <c r="AJ25" s="25"/>
      <c r="AK25" s="25">
        <v>318.6099999999999</v>
      </c>
      <c r="AL25" s="25"/>
      <c r="AM25" s="25">
        <v>0</v>
      </c>
      <c r="AN25" s="25"/>
      <c r="AO25" s="25">
        <v>115.35999999999999</v>
      </c>
      <c r="AP25" s="25">
        <v>611.31999999999994</v>
      </c>
      <c r="AQ25" s="25">
        <v>0</v>
      </c>
      <c r="AR25" s="25"/>
      <c r="AS25" s="25">
        <v>285.10000000000002</v>
      </c>
      <c r="AT25" s="30">
        <f t="shared" si="1"/>
        <v>3467.2900000000004</v>
      </c>
      <c r="AU25" s="23">
        <v>2.9737399101330666E-3</v>
      </c>
    </row>
    <row r="26" spans="1:48" x14ac:dyDescent="0.2">
      <c r="A26" s="2" t="s">
        <v>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/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/>
      <c r="O26" s="25"/>
      <c r="P26" s="25"/>
      <c r="Q26" s="25"/>
      <c r="R26" s="25">
        <v>0</v>
      </c>
      <c r="S26" s="25">
        <v>0</v>
      </c>
      <c r="T26" s="25">
        <v>0</v>
      </c>
      <c r="U26" s="25"/>
      <c r="V26" s="25">
        <v>0</v>
      </c>
      <c r="W26" s="25"/>
      <c r="X26" s="25"/>
      <c r="Y26" s="25"/>
      <c r="Z26" s="25">
        <v>0</v>
      </c>
      <c r="AA26" s="25">
        <v>0</v>
      </c>
      <c r="AB26" s="25"/>
      <c r="AC26" s="25">
        <v>0</v>
      </c>
      <c r="AD26" s="25">
        <v>0</v>
      </c>
      <c r="AE26" s="25">
        <v>0</v>
      </c>
      <c r="AF26" s="25">
        <v>0</v>
      </c>
      <c r="AG26" s="25"/>
      <c r="AH26" s="25">
        <v>0</v>
      </c>
      <c r="AI26" s="25">
        <v>0</v>
      </c>
      <c r="AJ26" s="25"/>
      <c r="AK26" s="25">
        <v>0</v>
      </c>
      <c r="AL26" s="25"/>
      <c r="AM26" s="25">
        <v>0</v>
      </c>
      <c r="AN26" s="25"/>
      <c r="AO26" s="25">
        <v>0</v>
      </c>
      <c r="AP26" s="25">
        <v>0</v>
      </c>
      <c r="AQ26" s="25">
        <v>0</v>
      </c>
      <c r="AR26" s="25"/>
      <c r="AS26" s="25">
        <v>44837.96</v>
      </c>
      <c r="AT26" s="30">
        <f t="shared" si="1"/>
        <v>44837.96</v>
      </c>
      <c r="AU26" s="23">
        <v>0</v>
      </c>
    </row>
    <row r="27" spans="1:48" x14ac:dyDescent="0.2">
      <c r="A27" s="2" t="s">
        <v>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/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/>
      <c r="O27" s="25"/>
      <c r="P27" s="25"/>
      <c r="Q27" s="25"/>
      <c r="R27" s="25">
        <v>0</v>
      </c>
      <c r="S27" s="25">
        <v>0</v>
      </c>
      <c r="T27" s="25">
        <v>0</v>
      </c>
      <c r="U27" s="25"/>
      <c r="V27" s="25">
        <v>0</v>
      </c>
      <c r="W27" s="25"/>
      <c r="X27" s="25"/>
      <c r="Y27" s="25"/>
      <c r="Z27" s="25">
        <v>0</v>
      </c>
      <c r="AA27" s="25">
        <v>0</v>
      </c>
      <c r="AB27" s="25"/>
      <c r="AC27" s="25">
        <v>0</v>
      </c>
      <c r="AD27" s="25">
        <v>0</v>
      </c>
      <c r="AE27" s="25">
        <v>0</v>
      </c>
      <c r="AF27" s="25">
        <v>0</v>
      </c>
      <c r="AG27" s="25"/>
      <c r="AH27" s="25">
        <v>0</v>
      </c>
      <c r="AI27" s="25">
        <v>0</v>
      </c>
      <c r="AJ27" s="25"/>
      <c r="AK27" s="25">
        <v>0</v>
      </c>
      <c r="AL27" s="25"/>
      <c r="AM27" s="25">
        <v>0</v>
      </c>
      <c r="AN27" s="25"/>
      <c r="AO27" s="25">
        <v>0</v>
      </c>
      <c r="AP27" s="25">
        <v>0</v>
      </c>
      <c r="AQ27" s="25">
        <v>0</v>
      </c>
      <c r="AR27" s="25"/>
      <c r="AS27" s="25">
        <v>0</v>
      </c>
      <c r="AT27" s="30">
        <f t="shared" si="1"/>
        <v>0</v>
      </c>
      <c r="AU27" s="23">
        <v>0</v>
      </c>
    </row>
    <row r="28" spans="1:48" x14ac:dyDescent="0.2">
      <c r="A28" s="2" t="s">
        <v>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/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/>
      <c r="O28" s="25"/>
      <c r="P28" s="25"/>
      <c r="Q28" s="25"/>
      <c r="R28" s="25">
        <v>0</v>
      </c>
      <c r="S28" s="25">
        <v>0</v>
      </c>
      <c r="T28" s="25">
        <v>0</v>
      </c>
      <c r="U28" s="25"/>
      <c r="V28" s="25">
        <v>0</v>
      </c>
      <c r="W28" s="25"/>
      <c r="X28" s="25"/>
      <c r="Y28" s="25"/>
      <c r="Z28" s="25">
        <v>0</v>
      </c>
      <c r="AA28" s="25">
        <v>0</v>
      </c>
      <c r="AB28" s="25"/>
      <c r="AC28" s="25">
        <v>0</v>
      </c>
      <c r="AD28" s="25">
        <v>0</v>
      </c>
      <c r="AE28" s="25">
        <v>0</v>
      </c>
      <c r="AF28" s="25">
        <v>0</v>
      </c>
      <c r="AG28" s="25"/>
      <c r="AH28" s="25">
        <v>0</v>
      </c>
      <c r="AI28" s="25">
        <v>0</v>
      </c>
      <c r="AJ28" s="25"/>
      <c r="AK28" s="25">
        <v>0</v>
      </c>
      <c r="AL28" s="25"/>
      <c r="AM28" s="25">
        <v>0</v>
      </c>
      <c r="AN28" s="25"/>
      <c r="AO28" s="25">
        <v>0</v>
      </c>
      <c r="AP28" s="25">
        <v>0</v>
      </c>
      <c r="AQ28" s="25">
        <v>0</v>
      </c>
      <c r="AR28" s="25"/>
      <c r="AS28" s="25">
        <v>4088.66</v>
      </c>
      <c r="AT28" s="30">
        <f t="shared" si="1"/>
        <v>4088.66</v>
      </c>
      <c r="AU28" s="23">
        <v>5.6546650437477603E-4</v>
      </c>
    </row>
    <row r="29" spans="1:48" x14ac:dyDescent="0.2">
      <c r="A29" s="2" t="s">
        <v>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/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/>
      <c r="O29" s="25"/>
      <c r="P29" s="25"/>
      <c r="Q29" s="25"/>
      <c r="R29" s="25">
        <v>0</v>
      </c>
      <c r="S29" s="25">
        <v>0</v>
      </c>
      <c r="T29" s="25">
        <v>0</v>
      </c>
      <c r="U29" s="25"/>
      <c r="V29" s="25">
        <v>0</v>
      </c>
      <c r="W29" s="25"/>
      <c r="X29" s="25"/>
      <c r="Y29" s="25"/>
      <c r="Z29" s="25">
        <v>0</v>
      </c>
      <c r="AA29" s="25">
        <v>0</v>
      </c>
      <c r="AB29" s="25"/>
      <c r="AC29" s="25">
        <v>0</v>
      </c>
      <c r="AD29" s="25">
        <v>0</v>
      </c>
      <c r="AE29" s="25">
        <v>0</v>
      </c>
      <c r="AF29" s="25">
        <v>0</v>
      </c>
      <c r="AG29" s="25"/>
      <c r="AH29" s="25">
        <v>0</v>
      </c>
      <c r="AI29" s="25">
        <v>0</v>
      </c>
      <c r="AJ29" s="25"/>
      <c r="AK29" s="25">
        <v>0</v>
      </c>
      <c r="AL29" s="25"/>
      <c r="AM29" s="25">
        <v>0</v>
      </c>
      <c r="AN29" s="25"/>
      <c r="AO29" s="25">
        <v>0</v>
      </c>
      <c r="AP29" s="25">
        <v>0</v>
      </c>
      <c r="AQ29" s="25">
        <v>0</v>
      </c>
      <c r="AR29" s="25"/>
      <c r="AS29" s="25">
        <v>220.58</v>
      </c>
      <c r="AT29" s="30">
        <f t="shared" si="1"/>
        <v>220.58</v>
      </c>
      <c r="AU29" s="23">
        <v>0</v>
      </c>
    </row>
    <row r="30" spans="1:48" x14ac:dyDescent="0.2">
      <c r="A30" s="2" t="s">
        <v>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/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/>
      <c r="O30" s="25"/>
      <c r="P30" s="25"/>
      <c r="Q30" s="25"/>
      <c r="R30" s="25">
        <v>0</v>
      </c>
      <c r="S30" s="25">
        <v>0</v>
      </c>
      <c r="T30" s="25">
        <v>0</v>
      </c>
      <c r="U30" s="25"/>
      <c r="V30" s="25">
        <v>0</v>
      </c>
      <c r="W30" s="25"/>
      <c r="X30" s="25"/>
      <c r="Y30" s="25"/>
      <c r="Z30" s="25">
        <v>0</v>
      </c>
      <c r="AA30" s="25">
        <v>0</v>
      </c>
      <c r="AB30" s="25"/>
      <c r="AC30" s="25">
        <v>0</v>
      </c>
      <c r="AD30" s="25">
        <v>0</v>
      </c>
      <c r="AE30" s="25">
        <v>0</v>
      </c>
      <c r="AF30" s="25">
        <v>0</v>
      </c>
      <c r="AG30" s="25"/>
      <c r="AH30" s="25">
        <v>0</v>
      </c>
      <c r="AI30" s="25">
        <v>0</v>
      </c>
      <c r="AJ30" s="25"/>
      <c r="AK30" s="25">
        <v>0</v>
      </c>
      <c r="AL30" s="25"/>
      <c r="AM30" s="25">
        <v>0</v>
      </c>
      <c r="AN30" s="25"/>
      <c r="AO30" s="25">
        <v>0</v>
      </c>
      <c r="AP30" s="25">
        <v>0</v>
      </c>
      <c r="AQ30" s="25">
        <v>0</v>
      </c>
      <c r="AR30" s="25"/>
      <c r="AS30" s="25">
        <v>0</v>
      </c>
      <c r="AT30" s="30">
        <f t="shared" si="1"/>
        <v>0</v>
      </c>
      <c r="AU30" s="23">
        <v>0</v>
      </c>
    </row>
    <row r="31" spans="1:48" x14ac:dyDescent="0.2">
      <c r="A31" s="2" t="s">
        <v>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/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/>
      <c r="O31" s="25"/>
      <c r="P31" s="25"/>
      <c r="Q31" s="25"/>
      <c r="R31" s="25">
        <v>0</v>
      </c>
      <c r="S31" s="25">
        <v>0</v>
      </c>
      <c r="T31" s="25">
        <v>0</v>
      </c>
      <c r="U31" s="25"/>
      <c r="V31" s="25">
        <v>0</v>
      </c>
      <c r="W31" s="25"/>
      <c r="X31" s="25"/>
      <c r="Y31" s="25"/>
      <c r="Z31" s="25">
        <v>0</v>
      </c>
      <c r="AA31" s="25">
        <v>0</v>
      </c>
      <c r="AB31" s="25"/>
      <c r="AC31" s="25">
        <v>0</v>
      </c>
      <c r="AD31" s="25">
        <v>0</v>
      </c>
      <c r="AE31" s="25">
        <v>0</v>
      </c>
      <c r="AF31" s="25">
        <v>0</v>
      </c>
      <c r="AG31" s="25"/>
      <c r="AH31" s="25">
        <v>0</v>
      </c>
      <c r="AI31" s="25">
        <v>0</v>
      </c>
      <c r="AJ31" s="25"/>
      <c r="AK31" s="25">
        <v>0</v>
      </c>
      <c r="AL31" s="25"/>
      <c r="AM31" s="25">
        <v>0</v>
      </c>
      <c r="AN31" s="25"/>
      <c r="AO31" s="25">
        <v>0</v>
      </c>
      <c r="AP31" s="25">
        <v>0</v>
      </c>
      <c r="AQ31" s="25">
        <v>0</v>
      </c>
      <c r="AR31" s="25"/>
      <c r="AS31" s="25">
        <v>18703.14</v>
      </c>
      <c r="AT31" s="30">
        <f t="shared" si="1"/>
        <v>18703.14</v>
      </c>
      <c r="AU31" s="23">
        <v>0</v>
      </c>
    </row>
    <row r="32" spans="1:48" x14ac:dyDescent="0.2">
      <c r="A32" s="2" t="s">
        <v>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/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/>
      <c r="O32" s="25"/>
      <c r="P32" s="25"/>
      <c r="Q32" s="25"/>
      <c r="R32" s="25">
        <v>0</v>
      </c>
      <c r="S32" s="25">
        <v>0</v>
      </c>
      <c r="T32" s="25">
        <v>0</v>
      </c>
      <c r="U32" s="25"/>
      <c r="V32" s="25">
        <v>0</v>
      </c>
      <c r="W32" s="25"/>
      <c r="X32" s="25"/>
      <c r="Y32" s="25"/>
      <c r="Z32" s="25">
        <v>0</v>
      </c>
      <c r="AA32" s="25">
        <v>0</v>
      </c>
      <c r="AB32" s="25"/>
      <c r="AC32" s="25">
        <v>0</v>
      </c>
      <c r="AD32" s="25">
        <v>0</v>
      </c>
      <c r="AE32" s="25">
        <v>0</v>
      </c>
      <c r="AF32" s="25">
        <v>0</v>
      </c>
      <c r="AG32" s="25"/>
      <c r="AH32" s="25">
        <v>0</v>
      </c>
      <c r="AI32" s="25">
        <v>0</v>
      </c>
      <c r="AJ32" s="25"/>
      <c r="AK32" s="25">
        <v>0</v>
      </c>
      <c r="AL32" s="25"/>
      <c r="AM32" s="25">
        <v>0</v>
      </c>
      <c r="AN32" s="25"/>
      <c r="AO32" s="25">
        <v>0</v>
      </c>
      <c r="AP32" s="25">
        <v>0</v>
      </c>
      <c r="AQ32" s="25">
        <v>0</v>
      </c>
      <c r="AR32" s="25"/>
      <c r="AS32" s="25">
        <v>0</v>
      </c>
      <c r="AT32" s="30">
        <f t="shared" si="1"/>
        <v>0</v>
      </c>
      <c r="AU32" s="23">
        <v>0</v>
      </c>
    </row>
    <row r="33" spans="1:48" x14ac:dyDescent="0.2">
      <c r="A33" s="76" t="s">
        <v>102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/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/>
      <c r="O33" s="25"/>
      <c r="P33" s="25"/>
      <c r="Q33" s="25"/>
      <c r="R33" s="25">
        <v>0</v>
      </c>
      <c r="S33" s="25">
        <v>0</v>
      </c>
      <c r="T33" s="25">
        <v>0</v>
      </c>
      <c r="U33" s="25"/>
      <c r="V33" s="25">
        <v>0</v>
      </c>
      <c r="W33" s="25"/>
      <c r="X33" s="25"/>
      <c r="Y33" s="25"/>
      <c r="Z33" s="25">
        <v>0</v>
      </c>
      <c r="AA33" s="25">
        <v>0</v>
      </c>
      <c r="AB33" s="25"/>
      <c r="AC33" s="25">
        <v>0</v>
      </c>
      <c r="AD33" s="25">
        <v>0</v>
      </c>
      <c r="AE33" s="25">
        <v>0</v>
      </c>
      <c r="AF33" s="25">
        <v>0</v>
      </c>
      <c r="AG33" s="25"/>
      <c r="AH33" s="25">
        <v>0</v>
      </c>
      <c r="AI33" s="25">
        <v>0</v>
      </c>
      <c r="AJ33" s="25"/>
      <c r="AK33" s="25">
        <v>0</v>
      </c>
      <c r="AL33" s="25"/>
      <c r="AM33" s="25">
        <v>0</v>
      </c>
      <c r="AN33" s="25"/>
      <c r="AO33" s="25">
        <v>0</v>
      </c>
      <c r="AP33" s="25">
        <v>0</v>
      </c>
      <c r="AQ33" s="25">
        <v>0</v>
      </c>
      <c r="AR33" s="25"/>
      <c r="AS33" s="25">
        <v>5000</v>
      </c>
      <c r="AT33" s="30">
        <f t="shared" si="1"/>
        <v>5000</v>
      </c>
      <c r="AU33" s="23">
        <v>0</v>
      </c>
    </row>
    <row r="34" spans="1:48" x14ac:dyDescent="0.2">
      <c r="A34" s="2" t="s">
        <v>57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/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/>
      <c r="O34" s="25"/>
      <c r="P34" s="25"/>
      <c r="Q34" s="25"/>
      <c r="R34" s="25">
        <v>0</v>
      </c>
      <c r="S34" s="25">
        <v>0</v>
      </c>
      <c r="T34" s="25">
        <v>0</v>
      </c>
      <c r="U34" s="25"/>
      <c r="V34" s="25">
        <v>0</v>
      </c>
      <c r="W34" s="25"/>
      <c r="X34" s="25"/>
      <c r="Y34" s="25"/>
      <c r="Z34" s="25">
        <v>0</v>
      </c>
      <c r="AA34" s="25">
        <v>0</v>
      </c>
      <c r="AB34" s="25"/>
      <c r="AC34" s="25">
        <v>0</v>
      </c>
      <c r="AD34" s="25">
        <v>0</v>
      </c>
      <c r="AE34" s="25">
        <v>0</v>
      </c>
      <c r="AF34" s="25">
        <v>0</v>
      </c>
      <c r="AG34" s="25"/>
      <c r="AH34" s="25">
        <v>0</v>
      </c>
      <c r="AI34" s="25">
        <v>0</v>
      </c>
      <c r="AJ34" s="25"/>
      <c r="AK34" s="25">
        <v>0</v>
      </c>
      <c r="AL34" s="25"/>
      <c r="AM34" s="25">
        <v>0</v>
      </c>
      <c r="AN34" s="25"/>
      <c r="AO34" s="25">
        <v>0</v>
      </c>
      <c r="AP34" s="25">
        <v>1122</v>
      </c>
      <c r="AQ34" s="25">
        <v>0</v>
      </c>
      <c r="AR34" s="25"/>
      <c r="AS34" s="25">
        <v>0</v>
      </c>
      <c r="AT34" s="30">
        <f t="shared" si="1"/>
        <v>1122</v>
      </c>
      <c r="AU34" s="23">
        <v>5.1917766414066278E-3</v>
      </c>
    </row>
    <row r="35" spans="1:48" x14ac:dyDescent="0.2">
      <c r="A35" s="2" t="s">
        <v>58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/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/>
      <c r="O35" s="25"/>
      <c r="P35" s="25"/>
      <c r="Q35" s="25"/>
      <c r="R35" s="25">
        <v>0</v>
      </c>
      <c r="S35" s="25">
        <v>0</v>
      </c>
      <c r="T35" s="25">
        <v>0</v>
      </c>
      <c r="U35" s="25"/>
      <c r="V35" s="25">
        <v>0</v>
      </c>
      <c r="W35" s="25"/>
      <c r="X35" s="25"/>
      <c r="Y35" s="25"/>
      <c r="Z35" s="25">
        <v>0</v>
      </c>
      <c r="AA35" s="25">
        <v>0</v>
      </c>
      <c r="AB35" s="25"/>
      <c r="AC35" s="25">
        <v>0</v>
      </c>
      <c r="AD35" s="25">
        <v>0</v>
      </c>
      <c r="AE35" s="25">
        <v>0</v>
      </c>
      <c r="AF35" s="25">
        <v>0</v>
      </c>
      <c r="AG35" s="25"/>
      <c r="AH35" s="25">
        <v>0</v>
      </c>
      <c r="AI35" s="25">
        <v>0</v>
      </c>
      <c r="AJ35" s="25"/>
      <c r="AK35" s="25">
        <v>0</v>
      </c>
      <c r="AL35" s="25"/>
      <c r="AM35" s="25">
        <v>0</v>
      </c>
      <c r="AN35" s="25"/>
      <c r="AO35" s="25">
        <v>0</v>
      </c>
      <c r="AP35" s="25">
        <v>0</v>
      </c>
      <c r="AQ35" s="25">
        <v>0</v>
      </c>
      <c r="AR35" s="25"/>
      <c r="AS35" s="25">
        <v>0</v>
      </c>
      <c r="AT35" s="30">
        <f t="shared" si="1"/>
        <v>0</v>
      </c>
      <c r="AU35" s="23">
        <v>0</v>
      </c>
    </row>
    <row r="36" spans="1:48" x14ac:dyDescent="0.2">
      <c r="A36" s="2" t="s">
        <v>59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/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/>
      <c r="O36" s="25"/>
      <c r="P36" s="25"/>
      <c r="Q36" s="25"/>
      <c r="R36" s="25">
        <v>0</v>
      </c>
      <c r="S36" s="25">
        <v>0</v>
      </c>
      <c r="T36" s="25">
        <v>0</v>
      </c>
      <c r="U36" s="25"/>
      <c r="V36" s="25">
        <v>0</v>
      </c>
      <c r="W36" s="25"/>
      <c r="X36" s="25"/>
      <c r="Y36" s="25"/>
      <c r="Z36" s="25">
        <v>0</v>
      </c>
      <c r="AA36" s="25">
        <v>0</v>
      </c>
      <c r="AB36" s="25"/>
      <c r="AC36" s="25">
        <v>0</v>
      </c>
      <c r="AD36" s="25">
        <v>0</v>
      </c>
      <c r="AE36" s="25">
        <v>0</v>
      </c>
      <c r="AF36" s="25">
        <v>0</v>
      </c>
      <c r="AG36" s="25"/>
      <c r="AH36" s="25">
        <v>0</v>
      </c>
      <c r="AI36" s="25">
        <v>0</v>
      </c>
      <c r="AJ36" s="25"/>
      <c r="AK36" s="25">
        <v>0</v>
      </c>
      <c r="AL36" s="25"/>
      <c r="AM36" s="25">
        <v>0</v>
      </c>
      <c r="AN36" s="25"/>
      <c r="AO36" s="25">
        <v>0</v>
      </c>
      <c r="AP36" s="25">
        <v>0</v>
      </c>
      <c r="AQ36" s="25">
        <v>0</v>
      </c>
      <c r="AR36" s="25"/>
      <c r="AS36" s="25">
        <v>0</v>
      </c>
      <c r="AT36" s="30">
        <f t="shared" si="1"/>
        <v>0</v>
      </c>
      <c r="AU36" s="23">
        <v>0</v>
      </c>
    </row>
    <row r="37" spans="1:48" x14ac:dyDescent="0.2">
      <c r="A37" s="2" t="s">
        <v>60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/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/>
      <c r="O37" s="25"/>
      <c r="P37" s="25"/>
      <c r="Q37" s="25"/>
      <c r="R37" s="25">
        <v>0</v>
      </c>
      <c r="S37" s="25">
        <v>0</v>
      </c>
      <c r="T37" s="25">
        <v>0</v>
      </c>
      <c r="U37" s="25"/>
      <c r="V37" s="25">
        <v>0</v>
      </c>
      <c r="W37" s="25"/>
      <c r="X37" s="25"/>
      <c r="Y37" s="25"/>
      <c r="Z37" s="25">
        <v>0</v>
      </c>
      <c r="AA37" s="25">
        <v>0</v>
      </c>
      <c r="AB37" s="25"/>
      <c r="AC37" s="25">
        <v>0</v>
      </c>
      <c r="AD37" s="25">
        <v>0</v>
      </c>
      <c r="AE37" s="25">
        <v>0</v>
      </c>
      <c r="AF37" s="25">
        <v>0</v>
      </c>
      <c r="AG37" s="25"/>
      <c r="AH37" s="25">
        <v>0</v>
      </c>
      <c r="AI37" s="25">
        <v>0</v>
      </c>
      <c r="AJ37" s="25"/>
      <c r="AK37" s="25">
        <v>0</v>
      </c>
      <c r="AL37" s="25"/>
      <c r="AM37" s="25">
        <v>0</v>
      </c>
      <c r="AN37" s="25"/>
      <c r="AO37" s="25">
        <v>0</v>
      </c>
      <c r="AP37" s="25">
        <v>0</v>
      </c>
      <c r="AQ37" s="25">
        <v>0</v>
      </c>
      <c r="AR37" s="25"/>
      <c r="AS37" s="25">
        <v>18400</v>
      </c>
      <c r="AT37" s="30">
        <f t="shared" si="1"/>
        <v>18400</v>
      </c>
      <c r="AU37" s="23">
        <v>0</v>
      </c>
    </row>
    <row r="38" spans="1:48" x14ac:dyDescent="0.2">
      <c r="A38" s="2" t="s">
        <v>61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/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/>
      <c r="O38" s="25"/>
      <c r="P38" s="25"/>
      <c r="Q38" s="25"/>
      <c r="R38" s="25">
        <v>0</v>
      </c>
      <c r="S38" s="25">
        <v>0</v>
      </c>
      <c r="T38" s="25">
        <v>0</v>
      </c>
      <c r="U38" s="25"/>
      <c r="V38" s="25">
        <v>0</v>
      </c>
      <c r="W38" s="25"/>
      <c r="X38" s="25"/>
      <c r="Y38" s="25"/>
      <c r="Z38" s="25">
        <v>0</v>
      </c>
      <c r="AA38" s="25">
        <v>0</v>
      </c>
      <c r="AB38" s="25"/>
      <c r="AC38" s="25">
        <v>0</v>
      </c>
      <c r="AD38" s="25">
        <v>0</v>
      </c>
      <c r="AE38" s="25">
        <v>0</v>
      </c>
      <c r="AF38" s="25">
        <v>0</v>
      </c>
      <c r="AG38" s="25"/>
      <c r="AH38" s="25">
        <v>0</v>
      </c>
      <c r="AI38" s="25">
        <v>0</v>
      </c>
      <c r="AJ38" s="25"/>
      <c r="AK38" s="25">
        <v>0</v>
      </c>
      <c r="AL38" s="25"/>
      <c r="AM38" s="25">
        <v>0</v>
      </c>
      <c r="AN38" s="25"/>
      <c r="AO38" s="25">
        <v>0</v>
      </c>
      <c r="AP38" s="25">
        <v>0</v>
      </c>
      <c r="AQ38" s="25">
        <v>0</v>
      </c>
      <c r="AR38" s="25"/>
      <c r="AS38" s="25">
        <v>0</v>
      </c>
      <c r="AT38" s="30">
        <f t="shared" si="1"/>
        <v>0</v>
      </c>
      <c r="AU38" s="23">
        <v>0</v>
      </c>
    </row>
    <row r="39" spans="1:48" x14ac:dyDescent="0.2">
      <c r="A39" s="76" t="s">
        <v>105</v>
      </c>
      <c r="B39" s="25">
        <v>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/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/>
      <c r="O39" s="25"/>
      <c r="P39" s="25"/>
      <c r="Q39" s="25"/>
      <c r="R39" s="25">
        <v>0</v>
      </c>
      <c r="S39" s="25">
        <v>0</v>
      </c>
      <c r="T39" s="25">
        <v>0</v>
      </c>
      <c r="U39" s="25"/>
      <c r="V39" s="25">
        <v>0</v>
      </c>
      <c r="W39" s="25"/>
      <c r="X39" s="25"/>
      <c r="Y39" s="25"/>
      <c r="Z39" s="25">
        <v>0</v>
      </c>
      <c r="AA39" s="25">
        <v>0</v>
      </c>
      <c r="AB39" s="25"/>
      <c r="AC39" s="25">
        <v>0</v>
      </c>
      <c r="AD39" s="25">
        <v>0</v>
      </c>
      <c r="AE39" s="25">
        <v>0</v>
      </c>
      <c r="AF39" s="25">
        <v>0</v>
      </c>
      <c r="AG39" s="25"/>
      <c r="AH39" s="25">
        <v>0</v>
      </c>
      <c r="AI39" s="25">
        <v>0</v>
      </c>
      <c r="AJ39" s="25"/>
      <c r="AK39" s="25">
        <v>0</v>
      </c>
      <c r="AL39" s="25"/>
      <c r="AM39" s="25">
        <v>0</v>
      </c>
      <c r="AN39" s="25"/>
      <c r="AO39" s="25">
        <v>0</v>
      </c>
      <c r="AP39" s="25">
        <v>0</v>
      </c>
      <c r="AQ39" s="25">
        <v>0</v>
      </c>
      <c r="AR39" s="25"/>
      <c r="AS39" s="25">
        <v>0</v>
      </c>
      <c r="AT39" s="30">
        <f t="shared" si="1"/>
        <v>0</v>
      </c>
      <c r="AU39" s="23">
        <v>2.7028623052734561E-3</v>
      </c>
    </row>
    <row r="40" spans="1:48" x14ac:dyDescent="0.2">
      <c r="A40" s="2" t="s">
        <v>62</v>
      </c>
      <c r="B40" s="25">
        <v>0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/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/>
      <c r="O40" s="25"/>
      <c r="P40" s="25"/>
      <c r="Q40" s="25"/>
      <c r="R40" s="25">
        <v>0</v>
      </c>
      <c r="S40" s="25">
        <v>0</v>
      </c>
      <c r="T40" s="25">
        <v>0</v>
      </c>
      <c r="U40" s="25"/>
      <c r="V40" s="25">
        <v>0</v>
      </c>
      <c r="W40" s="25"/>
      <c r="X40" s="25"/>
      <c r="Y40" s="25"/>
      <c r="Z40" s="25">
        <v>0</v>
      </c>
      <c r="AA40" s="25">
        <v>0</v>
      </c>
      <c r="AB40" s="25"/>
      <c r="AC40" s="25">
        <v>0</v>
      </c>
      <c r="AD40" s="25">
        <v>0</v>
      </c>
      <c r="AE40" s="25">
        <v>0</v>
      </c>
      <c r="AF40" s="25">
        <v>0</v>
      </c>
      <c r="AG40" s="25"/>
      <c r="AH40" s="25">
        <v>0</v>
      </c>
      <c r="AI40" s="25">
        <v>0</v>
      </c>
      <c r="AJ40" s="25"/>
      <c r="AK40" s="25">
        <v>0</v>
      </c>
      <c r="AL40" s="25"/>
      <c r="AM40" s="25">
        <v>0</v>
      </c>
      <c r="AN40" s="25"/>
      <c r="AO40" s="25">
        <v>0</v>
      </c>
      <c r="AP40" s="25">
        <v>0</v>
      </c>
      <c r="AQ40" s="25">
        <v>0</v>
      </c>
      <c r="AR40" s="25"/>
      <c r="AS40" s="25">
        <v>565000</v>
      </c>
      <c r="AT40" s="30">
        <f t="shared" si="1"/>
        <v>565000</v>
      </c>
      <c r="AU40" s="23">
        <v>0</v>
      </c>
      <c r="AV40" s="2" t="s">
        <v>68</v>
      </c>
    </row>
    <row r="41" spans="1:48" x14ac:dyDescent="0.2">
      <c r="A41" s="2" t="s">
        <v>63</v>
      </c>
      <c r="B41" s="25">
        <v>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/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/>
      <c r="O41" s="25"/>
      <c r="P41" s="25"/>
      <c r="Q41" s="25"/>
      <c r="R41" s="25">
        <v>0</v>
      </c>
      <c r="S41" s="25">
        <v>0</v>
      </c>
      <c r="T41" s="25">
        <v>0</v>
      </c>
      <c r="U41" s="25"/>
      <c r="V41" s="25">
        <v>0</v>
      </c>
      <c r="W41" s="25"/>
      <c r="X41" s="25"/>
      <c r="Y41" s="25"/>
      <c r="Z41" s="25">
        <v>0</v>
      </c>
      <c r="AA41" s="25">
        <v>0</v>
      </c>
      <c r="AB41" s="25"/>
      <c r="AC41" s="25">
        <v>0</v>
      </c>
      <c r="AD41" s="25">
        <v>0</v>
      </c>
      <c r="AE41" s="25">
        <v>0</v>
      </c>
      <c r="AF41" s="25">
        <v>0</v>
      </c>
      <c r="AG41" s="25"/>
      <c r="AH41" s="25">
        <v>0</v>
      </c>
      <c r="AI41" s="25">
        <v>0</v>
      </c>
      <c r="AJ41" s="25"/>
      <c r="AK41" s="25">
        <v>0</v>
      </c>
      <c r="AL41" s="25"/>
      <c r="AM41" s="25">
        <v>0</v>
      </c>
      <c r="AN41" s="25"/>
      <c r="AO41" s="25">
        <v>0</v>
      </c>
      <c r="AP41" s="25">
        <v>0</v>
      </c>
      <c r="AQ41" s="25">
        <v>0</v>
      </c>
      <c r="AR41" s="25"/>
      <c r="AS41" s="25">
        <v>2616.14</v>
      </c>
      <c r="AT41" s="30">
        <f t="shared" si="1"/>
        <v>2616.14</v>
      </c>
      <c r="AU41" s="23">
        <v>0</v>
      </c>
    </row>
    <row r="42" spans="1:48" x14ac:dyDescent="0.2">
      <c r="A42" s="2" t="s">
        <v>81</v>
      </c>
      <c r="B42" s="25">
        <v>0</v>
      </c>
      <c r="C42" s="25">
        <v>103.90999999999997</v>
      </c>
      <c r="D42" s="25">
        <v>171.87</v>
      </c>
      <c r="E42" s="25">
        <v>102.07000000000005</v>
      </c>
      <c r="F42" s="25">
        <v>0</v>
      </c>
      <c r="G42" s="25">
        <v>155.12</v>
      </c>
      <c r="H42" s="25"/>
      <c r="I42" s="25">
        <v>0</v>
      </c>
      <c r="J42" s="25">
        <v>66.730000000000018</v>
      </c>
      <c r="K42" s="25">
        <v>0</v>
      </c>
      <c r="L42" s="25">
        <v>0</v>
      </c>
      <c r="M42" s="25">
        <v>118.68000000000006</v>
      </c>
      <c r="N42" s="25"/>
      <c r="O42" s="25"/>
      <c r="P42" s="25"/>
      <c r="Q42" s="25"/>
      <c r="R42" s="25">
        <v>66.730000000000018</v>
      </c>
      <c r="S42" s="25">
        <v>164.95999999999998</v>
      </c>
      <c r="T42" s="25">
        <v>102.07</v>
      </c>
      <c r="U42" s="25"/>
      <c r="V42" s="25">
        <v>0</v>
      </c>
      <c r="W42" s="25"/>
      <c r="X42" s="25"/>
      <c r="Y42" s="25"/>
      <c r="Z42" s="25">
        <v>66.73</v>
      </c>
      <c r="AA42" s="25">
        <v>128.45999999999998</v>
      </c>
      <c r="AB42" s="25"/>
      <c r="AC42" s="25">
        <v>128.82999999999998</v>
      </c>
      <c r="AD42" s="25">
        <v>77.559999999999974</v>
      </c>
      <c r="AE42" s="25">
        <v>0</v>
      </c>
      <c r="AF42" s="25">
        <v>108.98000000000002</v>
      </c>
      <c r="AG42" s="25"/>
      <c r="AH42" s="25">
        <v>144.65999999999997</v>
      </c>
      <c r="AI42" s="25">
        <v>157.24</v>
      </c>
      <c r="AJ42" s="25"/>
      <c r="AK42" s="25">
        <v>120.52000000000004</v>
      </c>
      <c r="AL42" s="25"/>
      <c r="AM42" s="25">
        <v>0</v>
      </c>
      <c r="AN42" s="25"/>
      <c r="AO42" s="25">
        <v>76.090000000000032</v>
      </c>
      <c r="AP42" s="25">
        <v>74.889999999999986</v>
      </c>
      <c r="AQ42" s="25">
        <v>0</v>
      </c>
      <c r="AR42" s="25"/>
      <c r="AS42" s="25">
        <v>74.89</v>
      </c>
      <c r="AT42" s="30">
        <f t="shared" si="1"/>
        <v>2210.9899999999998</v>
      </c>
      <c r="AU42" s="23">
        <v>0</v>
      </c>
    </row>
    <row r="43" spans="1:48" x14ac:dyDescent="0.2">
      <c r="A43" s="2" t="s">
        <v>64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/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/>
      <c r="O43" s="25"/>
      <c r="P43" s="25"/>
      <c r="Q43" s="25"/>
      <c r="R43" s="25">
        <v>0</v>
      </c>
      <c r="S43" s="25">
        <v>0</v>
      </c>
      <c r="T43" s="25">
        <v>0</v>
      </c>
      <c r="U43" s="25"/>
      <c r="V43" s="25">
        <v>0</v>
      </c>
      <c r="W43" s="25"/>
      <c r="X43" s="25"/>
      <c r="Y43" s="25"/>
      <c r="Z43" s="25">
        <v>0</v>
      </c>
      <c r="AA43" s="25">
        <v>0</v>
      </c>
      <c r="AB43" s="25"/>
      <c r="AC43" s="25">
        <v>0</v>
      </c>
      <c r="AD43" s="25">
        <v>0</v>
      </c>
      <c r="AE43" s="25">
        <v>0</v>
      </c>
      <c r="AF43" s="25">
        <v>0</v>
      </c>
      <c r="AG43" s="25"/>
      <c r="AH43" s="25">
        <v>0</v>
      </c>
      <c r="AI43" s="25">
        <v>0</v>
      </c>
      <c r="AJ43" s="25"/>
      <c r="AK43" s="25">
        <v>0</v>
      </c>
      <c r="AL43" s="25"/>
      <c r="AM43" s="25">
        <v>0</v>
      </c>
      <c r="AN43" s="25"/>
      <c r="AO43" s="25">
        <v>0</v>
      </c>
      <c r="AP43" s="25">
        <v>0</v>
      </c>
      <c r="AQ43" s="25">
        <v>0</v>
      </c>
      <c r="AR43" s="25"/>
      <c r="AS43" s="25">
        <v>100970.56</v>
      </c>
      <c r="AT43" s="30">
        <f t="shared" si="1"/>
        <v>100970.56</v>
      </c>
      <c r="AU43" s="23">
        <v>0</v>
      </c>
    </row>
    <row r="44" spans="1:48" x14ac:dyDescent="0.2">
      <c r="A44" s="2" t="s">
        <v>66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/>
      <c r="I44" s="25">
        <v>0</v>
      </c>
      <c r="J44" s="25">
        <v>0</v>
      </c>
      <c r="K44" s="25">
        <v>0</v>
      </c>
      <c r="L44" s="25">
        <v>0</v>
      </c>
      <c r="M44" s="25">
        <v>300</v>
      </c>
      <c r="N44" s="25"/>
      <c r="O44" s="25"/>
      <c r="P44" s="25"/>
      <c r="Q44" s="25"/>
      <c r="R44" s="25">
        <v>0</v>
      </c>
      <c r="S44" s="25">
        <v>300</v>
      </c>
      <c r="T44" s="25">
        <v>0</v>
      </c>
      <c r="U44" s="25"/>
      <c r="V44" s="25">
        <v>0</v>
      </c>
      <c r="W44" s="25"/>
      <c r="X44" s="25"/>
      <c r="Y44" s="25"/>
      <c r="Z44" s="25">
        <v>0</v>
      </c>
      <c r="AA44" s="25">
        <v>0</v>
      </c>
      <c r="AB44" s="25"/>
      <c r="AC44" s="25">
        <v>0</v>
      </c>
      <c r="AD44" s="25">
        <v>0</v>
      </c>
      <c r="AE44" s="25">
        <v>0</v>
      </c>
      <c r="AF44" s="25">
        <v>0</v>
      </c>
      <c r="AG44" s="25"/>
      <c r="AH44" s="25">
        <v>0</v>
      </c>
      <c r="AI44" s="25">
        <v>0</v>
      </c>
      <c r="AJ44" s="25"/>
      <c r="AK44" s="25">
        <v>300</v>
      </c>
      <c r="AL44" s="25"/>
      <c r="AM44" s="25">
        <v>0</v>
      </c>
      <c r="AN44" s="25"/>
      <c r="AO44" s="25">
        <v>0</v>
      </c>
      <c r="AP44" s="25">
        <v>0</v>
      </c>
      <c r="AQ44" s="25">
        <v>0</v>
      </c>
      <c r="AR44" s="25"/>
      <c r="AS44" s="25">
        <v>13212.94</v>
      </c>
      <c r="AT44" s="30">
        <f t="shared" si="1"/>
        <v>14112.94</v>
      </c>
      <c r="AU44" s="23">
        <v>1.3686091689548861E-3</v>
      </c>
    </row>
    <row r="45" spans="1:48" ht="12.75" thickBot="1" x14ac:dyDescent="0.25">
      <c r="A45" s="14" t="s">
        <v>67</v>
      </c>
      <c r="B45" s="27">
        <f>SUM(B15:B44)</f>
        <v>173082.15</v>
      </c>
      <c r="C45" s="27">
        <f t="shared" ref="C45:AS45" si="2">SUM(C15:C44)</f>
        <v>7138.51</v>
      </c>
      <c r="D45" s="27">
        <f t="shared" si="2"/>
        <v>37791.670000000006</v>
      </c>
      <c r="E45" s="27">
        <f t="shared" si="2"/>
        <v>58460.409999999996</v>
      </c>
      <c r="F45" s="27">
        <f t="shared" si="2"/>
        <v>151281.26999999996</v>
      </c>
      <c r="G45" s="27">
        <f t="shared" si="2"/>
        <v>38722.400000000016</v>
      </c>
      <c r="H45" s="27">
        <f t="shared" si="2"/>
        <v>0</v>
      </c>
      <c r="I45" s="27">
        <f t="shared" si="2"/>
        <v>228617.98999999985</v>
      </c>
      <c r="J45" s="27">
        <f t="shared" si="2"/>
        <v>123354.99999999999</v>
      </c>
      <c r="K45" s="27">
        <f t="shared" si="2"/>
        <v>11654.599999999999</v>
      </c>
      <c r="L45" s="27">
        <f t="shared" si="2"/>
        <v>61743.060000000005</v>
      </c>
      <c r="M45" s="27">
        <f t="shared" si="2"/>
        <v>37362.219999999994</v>
      </c>
      <c r="N45" s="27">
        <f t="shared" si="2"/>
        <v>0</v>
      </c>
      <c r="O45" s="27">
        <f t="shared" si="2"/>
        <v>0</v>
      </c>
      <c r="P45" s="27">
        <f t="shared" si="2"/>
        <v>0</v>
      </c>
      <c r="Q45" s="27">
        <f t="shared" si="2"/>
        <v>0</v>
      </c>
      <c r="R45" s="27">
        <f t="shared" si="2"/>
        <v>57836.240000000034</v>
      </c>
      <c r="S45" s="27">
        <f t="shared" si="2"/>
        <v>62284.659999999996</v>
      </c>
      <c r="T45" s="27">
        <f t="shared" si="2"/>
        <v>29160.309999999987</v>
      </c>
      <c r="U45" s="27">
        <f t="shared" si="2"/>
        <v>0</v>
      </c>
      <c r="V45" s="27">
        <f t="shared" si="2"/>
        <v>36681.85</v>
      </c>
      <c r="W45" s="27">
        <f t="shared" si="2"/>
        <v>0</v>
      </c>
      <c r="X45" s="27">
        <f t="shared" si="2"/>
        <v>0</v>
      </c>
      <c r="Y45" s="27">
        <f t="shared" si="2"/>
        <v>0</v>
      </c>
      <c r="Z45" s="27">
        <f t="shared" si="2"/>
        <v>23549.19</v>
      </c>
      <c r="AA45" s="27">
        <f t="shared" si="2"/>
        <v>26337.470000000005</v>
      </c>
      <c r="AB45" s="27">
        <f t="shared" si="2"/>
        <v>0</v>
      </c>
      <c r="AC45" s="27">
        <f t="shared" si="2"/>
        <v>47089.610000000022</v>
      </c>
      <c r="AD45" s="27">
        <f t="shared" si="2"/>
        <v>26240.489999999994</v>
      </c>
      <c r="AE45" s="27">
        <f t="shared" si="2"/>
        <v>11823.989999999998</v>
      </c>
      <c r="AF45" s="27">
        <f t="shared" si="2"/>
        <v>48376.219999999994</v>
      </c>
      <c r="AG45" s="27">
        <f t="shared" si="2"/>
        <v>0</v>
      </c>
      <c r="AH45" s="27">
        <f t="shared" si="2"/>
        <v>159626.76</v>
      </c>
      <c r="AI45" s="27">
        <f t="shared" si="2"/>
        <v>19163.77</v>
      </c>
      <c r="AJ45" s="27">
        <f t="shared" si="2"/>
        <v>0</v>
      </c>
      <c r="AK45" s="27">
        <f t="shared" si="2"/>
        <v>37197.279999999992</v>
      </c>
      <c r="AL45" s="27">
        <f>SUM(AL15:AL44)</f>
        <v>0</v>
      </c>
      <c r="AM45" s="27">
        <f>SUM(AM15:AM44)</f>
        <v>14288.779999999999</v>
      </c>
      <c r="AN45" s="27">
        <f t="shared" ref="AN45:AQ45" si="3">SUM(AN15:AN44)</f>
        <v>0</v>
      </c>
      <c r="AO45" s="27">
        <f t="shared" si="3"/>
        <v>12313.349999999999</v>
      </c>
      <c r="AP45" s="27">
        <f t="shared" si="3"/>
        <v>113519.95000000003</v>
      </c>
      <c r="AQ45" s="27">
        <f t="shared" si="3"/>
        <v>20847.329999999994</v>
      </c>
      <c r="AR45" s="27">
        <f t="shared" si="2"/>
        <v>0</v>
      </c>
      <c r="AS45" s="27">
        <f t="shared" si="2"/>
        <v>1184451.7999999998</v>
      </c>
      <c r="AT45" s="27">
        <f>SUM(AT15:AT44)</f>
        <v>2859998.3300000005</v>
      </c>
      <c r="AU45" s="10">
        <f>SUM(AU15:AU44)</f>
        <v>0.99873737074352287</v>
      </c>
    </row>
    <row r="46" spans="1:48" ht="12.75" thickTop="1" x14ac:dyDescent="0.2">
      <c r="D46" s="2" t="s">
        <v>68</v>
      </c>
      <c r="E46" s="2" t="s">
        <v>68</v>
      </c>
      <c r="F46" s="2" t="s">
        <v>68</v>
      </c>
      <c r="G46" s="2" t="s">
        <v>68</v>
      </c>
      <c r="H46" s="2" t="s">
        <v>68</v>
      </c>
      <c r="I46" s="2" t="s">
        <v>68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68</v>
      </c>
      <c r="Q46" s="2" t="s">
        <v>68</v>
      </c>
      <c r="R46" s="2" t="s">
        <v>68</v>
      </c>
      <c r="S46" s="2" t="s">
        <v>68</v>
      </c>
      <c r="AT46" s="29" t="s">
        <v>68</v>
      </c>
    </row>
    <row r="47" spans="1:48" ht="12.75" thickBot="1" x14ac:dyDescent="0.25">
      <c r="A47" s="14" t="s">
        <v>69</v>
      </c>
      <c r="B47" s="14">
        <f>+B13-B45</f>
        <v>139917.85</v>
      </c>
      <c r="C47" s="14">
        <f t="shared" ref="C47:Z47" si="4">+C13-C45</f>
        <v>98361.49</v>
      </c>
      <c r="D47" s="14">
        <f t="shared" si="4"/>
        <v>18958.329999999994</v>
      </c>
      <c r="E47" s="14">
        <f t="shared" si="4"/>
        <v>30189.590000000004</v>
      </c>
      <c r="F47" s="14">
        <f t="shared" si="4"/>
        <v>121618.73000000004</v>
      </c>
      <c r="G47" s="14">
        <f>+G13-G45</f>
        <v>12221.099999999984</v>
      </c>
      <c r="H47" s="14">
        <f t="shared" si="4"/>
        <v>19000</v>
      </c>
      <c r="I47" s="14">
        <f t="shared" si="4"/>
        <v>236282.01000000015</v>
      </c>
      <c r="J47" s="14">
        <f t="shared" si="4"/>
        <v>65361.640000000029</v>
      </c>
      <c r="K47" s="14">
        <f t="shared" si="4"/>
        <v>7345.4000000000015</v>
      </c>
      <c r="L47" s="14">
        <f t="shared" si="4"/>
        <v>26556.929999999986</v>
      </c>
      <c r="M47" s="14">
        <f t="shared" si="4"/>
        <v>37837.780000000006</v>
      </c>
      <c r="N47" s="14">
        <f t="shared" si="4"/>
        <v>0</v>
      </c>
      <c r="O47" s="14">
        <f t="shared" si="4"/>
        <v>0</v>
      </c>
      <c r="P47" s="14">
        <f t="shared" si="4"/>
        <v>0</v>
      </c>
      <c r="Q47" s="14">
        <f t="shared" si="4"/>
        <v>0</v>
      </c>
      <c r="R47" s="14">
        <f t="shared" si="4"/>
        <v>39913.759999999966</v>
      </c>
      <c r="S47" s="14">
        <f t="shared" si="4"/>
        <v>35965.340000000004</v>
      </c>
      <c r="T47" s="14">
        <f t="shared" si="4"/>
        <v>26589.690000000013</v>
      </c>
      <c r="U47" s="14">
        <f t="shared" si="4"/>
        <v>0</v>
      </c>
      <c r="V47" s="14">
        <f t="shared" si="4"/>
        <v>17318.150000000001</v>
      </c>
      <c r="W47" s="14">
        <f t="shared" si="4"/>
        <v>0</v>
      </c>
      <c r="X47" s="14">
        <f t="shared" si="4"/>
        <v>0</v>
      </c>
      <c r="Y47" s="14">
        <f>+Y13-Y45</f>
        <v>0</v>
      </c>
      <c r="Z47" s="14">
        <f t="shared" si="4"/>
        <v>12450.810000000001</v>
      </c>
      <c r="AA47" s="14">
        <f>+AA13-AA45</f>
        <v>11662.529999999995</v>
      </c>
      <c r="AB47" s="14">
        <f>+AB13-AB45</f>
        <v>0</v>
      </c>
      <c r="AC47" s="14">
        <f>+AC13-AC45</f>
        <v>39410.389999999978</v>
      </c>
      <c r="AD47" s="14">
        <f>+AD13-AD45</f>
        <v>11759.510000000006</v>
      </c>
      <c r="AE47" s="14">
        <f t="shared" ref="AE47:AJ47" si="5">+AE13-AE45</f>
        <v>7676.010000000002</v>
      </c>
      <c r="AF47" s="14">
        <f t="shared" si="5"/>
        <v>36123.780000000006</v>
      </c>
      <c r="AG47" s="14">
        <f t="shared" si="5"/>
        <v>0</v>
      </c>
      <c r="AH47" s="14">
        <f t="shared" si="5"/>
        <v>92873.239999999991</v>
      </c>
      <c r="AI47" s="14">
        <f t="shared" si="5"/>
        <v>36586.229999999996</v>
      </c>
      <c r="AJ47" s="14">
        <f t="shared" si="5"/>
        <v>0</v>
      </c>
      <c r="AK47" s="14">
        <f>+AK13-AK45</f>
        <v>20002.720000000008</v>
      </c>
      <c r="AL47" s="14">
        <f>+AL13-AL45</f>
        <v>0</v>
      </c>
      <c r="AM47" s="14">
        <f>+AM13-AM45</f>
        <v>47211.22</v>
      </c>
      <c r="AN47" s="14">
        <f t="shared" ref="AN47:AQ47" si="6">+AN13-AN45</f>
        <v>0</v>
      </c>
      <c r="AO47" s="14">
        <f t="shared" si="6"/>
        <v>6186.6500000000015</v>
      </c>
      <c r="AP47" s="14">
        <f t="shared" si="6"/>
        <v>118480.04999999997</v>
      </c>
      <c r="AQ47" s="14">
        <f t="shared" si="6"/>
        <v>-2147.3299999999945</v>
      </c>
      <c r="AR47" s="14">
        <f t="shared" ref="AR47:AS47" si="7">+AR13-AR45</f>
        <v>1450</v>
      </c>
      <c r="AS47" s="14">
        <f t="shared" si="7"/>
        <v>-1184451.7999999998</v>
      </c>
      <c r="AT47" s="14">
        <f>SUM(B47:AS47)</f>
        <v>188711.80000000028</v>
      </c>
      <c r="AU47" s="39"/>
    </row>
    <row r="48" spans="1:48" ht="12.75" thickTop="1" x14ac:dyDescent="0.2"/>
    <row r="49" spans="1:48" x14ac:dyDescent="0.2">
      <c r="A49" s="2" t="s">
        <v>70</v>
      </c>
      <c r="B49" s="2">
        <f>34550+5400</f>
        <v>39950</v>
      </c>
      <c r="C49" s="2">
        <f>16000+12600</f>
        <v>28600</v>
      </c>
      <c r="D49" s="2">
        <v>4450</v>
      </c>
      <c r="E49" s="2">
        <v>4550</v>
      </c>
      <c r="F49" s="2">
        <f>36700+5100</f>
        <v>41800</v>
      </c>
      <c r="G49" s="2">
        <v>800</v>
      </c>
      <c r="H49" s="2">
        <v>1050</v>
      </c>
      <c r="I49" s="2">
        <f>68600+7500</f>
        <v>76100</v>
      </c>
      <c r="J49" s="2">
        <f>18432.16+5700</f>
        <v>24132.16</v>
      </c>
      <c r="L49" s="2">
        <f>6300+300+350</f>
        <v>6950</v>
      </c>
      <c r="M49" s="2">
        <v>1400</v>
      </c>
      <c r="R49" s="2">
        <f>10500+900</f>
        <v>11400</v>
      </c>
      <c r="S49" s="2">
        <f>13220+600</f>
        <v>13820</v>
      </c>
      <c r="T49" s="2">
        <f>10350+600</f>
        <v>10950</v>
      </c>
      <c r="V49" s="2">
        <f>7350+1800</f>
        <v>9150</v>
      </c>
      <c r="Z49" s="2">
        <v>350</v>
      </c>
      <c r="AA49" s="2">
        <v>1400</v>
      </c>
      <c r="AC49" s="2">
        <f>8050+300+600</f>
        <v>8950</v>
      </c>
      <c r="AD49" s="2">
        <f>5000+1800</f>
        <v>6800</v>
      </c>
      <c r="AF49" s="2">
        <f>10216.66+6900</f>
        <v>17116.66</v>
      </c>
      <c r="AH49" s="2">
        <f>25770+4800</f>
        <v>30570</v>
      </c>
      <c r="AI49" s="2">
        <f>10500+3000</f>
        <v>13500</v>
      </c>
      <c r="AK49" s="2">
        <v>3200</v>
      </c>
      <c r="AM49" s="2">
        <f>5100+1200</f>
        <v>6300</v>
      </c>
      <c r="AO49" s="2">
        <v>500</v>
      </c>
      <c r="AP49" s="2">
        <f>23949.97+30900</f>
        <v>54849.97</v>
      </c>
      <c r="AQ49" s="2">
        <f>1300+300</f>
        <v>1600</v>
      </c>
      <c r="AR49" s="2">
        <v>300</v>
      </c>
      <c r="AS49" s="2">
        <v>13062.5</v>
      </c>
      <c r="AT49" s="29">
        <f>SUM(B49:AS49)</f>
        <v>433601.29000000004</v>
      </c>
      <c r="AU49" s="2"/>
    </row>
    <row r="50" spans="1:48" s="25" customFormat="1" x14ac:dyDescent="0.2">
      <c r="A50" s="37" t="s">
        <v>71</v>
      </c>
      <c r="B50" s="37">
        <f>+B47-B49</f>
        <v>99967.85</v>
      </c>
      <c r="C50" s="37">
        <f t="shared" ref="C50:AS50" si="8">+C47-C49</f>
        <v>69761.490000000005</v>
      </c>
      <c r="D50" s="37">
        <f t="shared" si="8"/>
        <v>14508.329999999994</v>
      </c>
      <c r="E50" s="37">
        <f t="shared" si="8"/>
        <v>25639.590000000004</v>
      </c>
      <c r="F50" s="37">
        <f t="shared" si="8"/>
        <v>79818.73000000004</v>
      </c>
      <c r="G50" s="37">
        <f t="shared" si="8"/>
        <v>11421.099999999984</v>
      </c>
      <c r="H50" s="37">
        <f t="shared" si="8"/>
        <v>17950</v>
      </c>
      <c r="I50" s="37">
        <f t="shared" si="8"/>
        <v>160182.01000000015</v>
      </c>
      <c r="J50" s="37">
        <f t="shared" si="8"/>
        <v>41229.480000000025</v>
      </c>
      <c r="K50" s="37">
        <f t="shared" si="8"/>
        <v>7345.4000000000015</v>
      </c>
      <c r="L50" s="37">
        <f t="shared" si="8"/>
        <v>19606.929999999986</v>
      </c>
      <c r="M50" s="37">
        <f t="shared" si="8"/>
        <v>36437.780000000006</v>
      </c>
      <c r="N50" s="37">
        <f t="shared" si="8"/>
        <v>0</v>
      </c>
      <c r="O50" s="37">
        <f t="shared" si="8"/>
        <v>0</v>
      </c>
      <c r="P50" s="37">
        <f t="shared" si="8"/>
        <v>0</v>
      </c>
      <c r="Q50" s="37">
        <f t="shared" si="8"/>
        <v>0</v>
      </c>
      <c r="R50" s="37">
        <f t="shared" si="8"/>
        <v>28513.759999999966</v>
      </c>
      <c r="S50" s="37">
        <f t="shared" si="8"/>
        <v>22145.340000000004</v>
      </c>
      <c r="T50" s="37">
        <f t="shared" si="8"/>
        <v>15639.690000000013</v>
      </c>
      <c r="U50" s="37">
        <f t="shared" si="8"/>
        <v>0</v>
      </c>
      <c r="V50" s="37">
        <f t="shared" si="8"/>
        <v>8168.1500000000015</v>
      </c>
      <c r="W50" s="37">
        <f t="shared" si="8"/>
        <v>0</v>
      </c>
      <c r="X50" s="37">
        <f t="shared" si="8"/>
        <v>0</v>
      </c>
      <c r="Y50" s="37">
        <f t="shared" si="8"/>
        <v>0</v>
      </c>
      <c r="Z50" s="37">
        <f t="shared" si="8"/>
        <v>12100.810000000001</v>
      </c>
      <c r="AA50" s="37">
        <f t="shared" si="8"/>
        <v>10262.529999999995</v>
      </c>
      <c r="AB50" s="37">
        <f t="shared" si="8"/>
        <v>0</v>
      </c>
      <c r="AC50" s="37">
        <f t="shared" si="8"/>
        <v>30460.389999999978</v>
      </c>
      <c r="AD50" s="37">
        <f t="shared" si="8"/>
        <v>4959.5100000000057</v>
      </c>
      <c r="AE50" s="37">
        <f t="shared" si="8"/>
        <v>7676.010000000002</v>
      </c>
      <c r="AF50" s="37">
        <f t="shared" si="8"/>
        <v>19007.120000000006</v>
      </c>
      <c r="AG50" s="37">
        <f t="shared" si="8"/>
        <v>0</v>
      </c>
      <c r="AH50" s="37">
        <f t="shared" si="8"/>
        <v>62303.239999999991</v>
      </c>
      <c r="AI50" s="37">
        <f t="shared" si="8"/>
        <v>23086.229999999996</v>
      </c>
      <c r="AJ50" s="37">
        <f t="shared" si="8"/>
        <v>0</v>
      </c>
      <c r="AK50" s="37">
        <f t="shared" si="8"/>
        <v>16802.720000000008</v>
      </c>
      <c r="AL50" s="37">
        <f t="shared" si="8"/>
        <v>0</v>
      </c>
      <c r="AM50" s="37">
        <f t="shared" si="8"/>
        <v>40911.22</v>
      </c>
      <c r="AN50" s="37">
        <f t="shared" si="8"/>
        <v>0</v>
      </c>
      <c r="AO50" s="37">
        <f t="shared" si="8"/>
        <v>5686.6500000000015</v>
      </c>
      <c r="AP50" s="37">
        <f t="shared" si="8"/>
        <v>63630.079999999973</v>
      </c>
      <c r="AQ50" s="37">
        <f t="shared" si="8"/>
        <v>-3747.3299999999945</v>
      </c>
      <c r="AR50" s="37">
        <f t="shared" si="8"/>
        <v>1150</v>
      </c>
      <c r="AS50" s="37">
        <f t="shared" si="8"/>
        <v>-1197514.2999999998</v>
      </c>
      <c r="AT50" s="38">
        <f>SUM(B50:AS50)-AT53-AT54-AT55+AT56</f>
        <v>139695.22705000051</v>
      </c>
      <c r="AU50" s="40"/>
    </row>
    <row r="51" spans="1:48" x14ac:dyDescent="0.2">
      <c r="AT51" s="18">
        <v>139695.23000000001</v>
      </c>
      <c r="AU51" s="28" t="s">
        <v>72</v>
      </c>
      <c r="AV51" s="2" t="s">
        <v>106</v>
      </c>
    </row>
    <row r="52" spans="1:48" x14ac:dyDescent="0.2">
      <c r="AT52" s="47">
        <f>+AT50-AT51</f>
        <v>-2.9499994998332113E-3</v>
      </c>
      <c r="AU52" s="48" t="s">
        <v>82</v>
      </c>
    </row>
    <row r="53" spans="1:48" x14ac:dyDescent="0.2">
      <c r="A53" s="45" t="s">
        <v>78</v>
      </c>
      <c r="B53" s="45"/>
      <c r="C53" s="45"/>
      <c r="D53" s="45"/>
      <c r="E53" s="45">
        <f>+E50*8.5%</f>
        <v>2179.3651500000005</v>
      </c>
      <c r="F53" s="45"/>
      <c r="G53" s="45">
        <f>+G50*8.5%</f>
        <v>970.79349999999874</v>
      </c>
      <c r="H53" s="45">
        <f>+H50*8.5%</f>
        <v>1525.75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>
        <f>+V50*8.5%</f>
        <v>694.29275000000018</v>
      </c>
      <c r="W53" s="45">
        <f>+W50*8.5%</f>
        <v>0</v>
      </c>
      <c r="X53" s="45"/>
      <c r="Y53" s="45">
        <f>+Y50*8.5%</f>
        <v>0</v>
      </c>
      <c r="Z53" s="45">
        <f>+Z50*8.5%</f>
        <v>1028.5688500000001</v>
      </c>
      <c r="AA53" s="45">
        <f>+AA50*8.5%</f>
        <v>872.3150499999997</v>
      </c>
      <c r="AB53" s="45"/>
      <c r="AC53" s="45">
        <f>(AC50-AC54)*8.5%</f>
        <v>2376.6331499999983</v>
      </c>
      <c r="AD53" s="45"/>
      <c r="AE53" s="45"/>
      <c r="AF53" s="45"/>
      <c r="AG53" s="45">
        <f>+AG50*8.5%</f>
        <v>0</v>
      </c>
      <c r="AH53" s="45"/>
      <c r="AI53" s="45"/>
      <c r="AJ53" s="45">
        <f>+AJ50*8.5%</f>
        <v>0</v>
      </c>
      <c r="AK53" s="45"/>
      <c r="AL53" s="45">
        <f>+AL50*8.5%</f>
        <v>0</v>
      </c>
      <c r="AM53" s="45"/>
      <c r="AN53" s="45"/>
      <c r="AO53" s="45"/>
      <c r="AP53" s="45"/>
      <c r="AQ53" s="45"/>
      <c r="AR53" s="45"/>
      <c r="AS53" s="45"/>
      <c r="AT53" s="46">
        <f>SUM(B53:AS53)</f>
        <v>9647.7184499999967</v>
      </c>
    </row>
    <row r="54" spans="1:48" x14ac:dyDescent="0.2">
      <c r="A54" s="45" t="s">
        <v>84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>
        <v>2500</v>
      </c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>
        <v>17167.564500000004</v>
      </c>
      <c r="AT54" s="46">
        <f t="shared" ref="AT54:AT56" si="9">SUM(B54:AS54)</f>
        <v>19667.564500000004</v>
      </c>
    </row>
    <row r="55" spans="1:48" s="1" customFormat="1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50">
        <f>160000+25000</f>
        <v>185000</v>
      </c>
      <c r="AT55" s="46">
        <f t="shared" si="9"/>
        <v>185000</v>
      </c>
    </row>
    <row r="56" spans="1:48" s="1" customFormat="1" x14ac:dyDescent="0.2">
      <c r="A56" s="49" t="s">
        <v>86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>
        <v>598900</v>
      </c>
      <c r="AT56" s="46">
        <f t="shared" si="9"/>
        <v>598900</v>
      </c>
    </row>
    <row r="58" spans="1:48" s="1" customFormat="1" ht="12.75" x14ac:dyDescent="0.2">
      <c r="A58" s="57" t="s">
        <v>92</v>
      </c>
      <c r="B58" s="57">
        <v>15</v>
      </c>
      <c r="C58" s="57">
        <v>6</v>
      </c>
      <c r="D58" s="57">
        <v>3</v>
      </c>
      <c r="E58" s="57">
        <v>5</v>
      </c>
      <c r="F58" s="57">
        <v>14</v>
      </c>
      <c r="G58" s="57">
        <v>3</v>
      </c>
      <c r="H58" s="57">
        <v>2</v>
      </c>
      <c r="I58" s="57">
        <v>24</v>
      </c>
      <c r="J58" s="57">
        <v>11</v>
      </c>
      <c r="K58" s="57">
        <v>2</v>
      </c>
      <c r="L58" s="57">
        <v>5</v>
      </c>
      <c r="M58" s="57">
        <v>3</v>
      </c>
      <c r="N58" s="57">
        <v>1</v>
      </c>
      <c r="O58" s="57"/>
      <c r="P58" s="57"/>
      <c r="Q58" s="57"/>
      <c r="R58" s="57">
        <v>5</v>
      </c>
      <c r="S58" s="57">
        <v>4</v>
      </c>
      <c r="T58" s="57">
        <v>3</v>
      </c>
      <c r="U58" s="57"/>
      <c r="V58" s="57">
        <v>3</v>
      </c>
      <c r="W58" s="57"/>
      <c r="X58" s="57"/>
      <c r="Y58" s="57"/>
      <c r="Z58" s="57">
        <v>2</v>
      </c>
      <c r="AA58" s="57">
        <v>2</v>
      </c>
      <c r="AB58" s="57"/>
      <c r="AC58" s="57">
        <v>6</v>
      </c>
      <c r="AD58" s="57">
        <v>2</v>
      </c>
      <c r="AE58" s="57">
        <v>1</v>
      </c>
      <c r="AF58" s="57">
        <v>5</v>
      </c>
      <c r="AG58" s="57"/>
      <c r="AH58" s="57">
        <v>13</v>
      </c>
      <c r="AI58" s="57">
        <v>3</v>
      </c>
      <c r="AJ58" s="57"/>
      <c r="AK58" s="57">
        <v>3</v>
      </c>
      <c r="AL58" s="57"/>
      <c r="AM58" s="57">
        <v>3</v>
      </c>
      <c r="AN58" s="57"/>
      <c r="AO58" s="57">
        <v>1</v>
      </c>
      <c r="AP58" s="57">
        <v>12</v>
      </c>
      <c r="AQ58" s="57">
        <v>1</v>
      </c>
      <c r="AR58" s="65">
        <f>SUM(A58:AQ58)</f>
        <v>163</v>
      </c>
      <c r="AS58" s="66" t="s">
        <v>103</v>
      </c>
      <c r="AT58" s="3"/>
    </row>
    <row r="59" spans="1:48" s="1" customFormat="1" ht="12" customHeight="1" x14ac:dyDescent="0.2">
      <c r="A59" s="57" t="s">
        <v>91</v>
      </c>
      <c r="B59" s="58">
        <f>+B50/B58</f>
        <v>6664.5233333333335</v>
      </c>
      <c r="C59" s="58">
        <f t="shared" ref="C59:AQ59" si="10">+C50/C58</f>
        <v>11626.915000000001</v>
      </c>
      <c r="D59" s="58">
        <f t="shared" si="10"/>
        <v>4836.1099999999979</v>
      </c>
      <c r="E59" s="58">
        <f t="shared" si="10"/>
        <v>5127.9180000000006</v>
      </c>
      <c r="F59" s="58">
        <f t="shared" si="10"/>
        <v>5701.3378571428602</v>
      </c>
      <c r="G59" s="58">
        <f t="shared" si="10"/>
        <v>3807.0333333333278</v>
      </c>
      <c r="H59" s="58">
        <f t="shared" si="10"/>
        <v>8975</v>
      </c>
      <c r="I59" s="58">
        <f t="shared" si="10"/>
        <v>6674.2504166666731</v>
      </c>
      <c r="J59" s="58">
        <f t="shared" si="10"/>
        <v>3748.1345454545476</v>
      </c>
      <c r="K59" s="58">
        <f t="shared" si="10"/>
        <v>3672.7000000000007</v>
      </c>
      <c r="L59" s="58">
        <f t="shared" si="10"/>
        <v>3921.3859999999972</v>
      </c>
      <c r="M59" s="58">
        <f>(M50-M9)/M58</f>
        <v>4945.926666666669</v>
      </c>
      <c r="N59" s="58">
        <f t="shared" si="10"/>
        <v>0</v>
      </c>
      <c r="O59" s="58" t="e">
        <f t="shared" si="10"/>
        <v>#DIV/0!</v>
      </c>
      <c r="P59" s="58"/>
      <c r="Q59" s="58"/>
      <c r="R59" s="58">
        <f t="shared" si="10"/>
        <v>5702.7519999999931</v>
      </c>
      <c r="S59" s="58">
        <f t="shared" si="10"/>
        <v>5536.3350000000009</v>
      </c>
      <c r="T59" s="58">
        <f t="shared" si="10"/>
        <v>5213.2300000000041</v>
      </c>
      <c r="U59" s="58"/>
      <c r="V59" s="58">
        <f t="shared" si="10"/>
        <v>2722.7166666666672</v>
      </c>
      <c r="W59" s="58"/>
      <c r="X59" s="58"/>
      <c r="Y59" s="58"/>
      <c r="Z59" s="58">
        <f t="shared" si="10"/>
        <v>6050.4050000000007</v>
      </c>
      <c r="AA59" s="58">
        <f t="shared" si="10"/>
        <v>5131.2649999999976</v>
      </c>
      <c r="AB59" s="58"/>
      <c r="AC59" s="58">
        <f t="shared" si="10"/>
        <v>5076.7316666666629</v>
      </c>
      <c r="AD59" s="58">
        <f t="shared" si="10"/>
        <v>2479.7550000000028</v>
      </c>
      <c r="AE59" s="58">
        <f t="shared" si="10"/>
        <v>7676.010000000002</v>
      </c>
      <c r="AF59" s="58">
        <f t="shared" si="10"/>
        <v>3801.4240000000013</v>
      </c>
      <c r="AG59" s="58"/>
      <c r="AH59" s="58">
        <f t="shared" si="10"/>
        <v>4792.5569230769224</v>
      </c>
      <c r="AI59" s="58">
        <f t="shared" si="10"/>
        <v>7695.4099999999989</v>
      </c>
      <c r="AJ59" s="58"/>
      <c r="AK59" s="58">
        <f t="shared" si="10"/>
        <v>5600.9066666666695</v>
      </c>
      <c r="AL59" s="58"/>
      <c r="AM59" s="58">
        <f t="shared" si="10"/>
        <v>13637.073333333334</v>
      </c>
      <c r="AN59" s="58"/>
      <c r="AO59" s="58">
        <f t="shared" si="10"/>
        <v>5686.6500000000015</v>
      </c>
      <c r="AP59" s="58">
        <f t="shared" si="10"/>
        <v>5302.5066666666644</v>
      </c>
      <c r="AQ59" s="58">
        <f t="shared" si="10"/>
        <v>-3747.3299999999945</v>
      </c>
      <c r="AR59" s="2"/>
      <c r="AS59" s="2"/>
    </row>
    <row r="60" spans="1:48" s="1" customFormat="1" x14ac:dyDescent="0.2">
      <c r="N60" s="3"/>
      <c r="O60" s="3"/>
      <c r="P60" s="3"/>
      <c r="Q60" s="3"/>
      <c r="R60" s="3"/>
      <c r="S60" s="3"/>
      <c r="T60" s="3"/>
      <c r="U60" s="3"/>
    </row>
    <row r="61" spans="1:48" s="1" customFormat="1" x14ac:dyDescent="0.2">
      <c r="N61" s="3"/>
      <c r="O61" s="3"/>
      <c r="P61" s="3"/>
      <c r="Q61" s="3"/>
      <c r="R61" s="3"/>
      <c r="S61" s="3"/>
      <c r="T61" s="3"/>
      <c r="U61" s="3"/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CDFF-56B0-42F0-8678-AC8D451D13C9}">
  <sheetPr>
    <tabColor rgb="FF7030A0"/>
  </sheetPr>
  <dimension ref="A2:AV61"/>
  <sheetViews>
    <sheetView zoomScaleNormal="100" workbookViewId="0">
      <pane xSplit="1" ySplit="7" topLeftCell="AK38" activePane="bottomRight" state="frozen"/>
      <selection activeCell="D53" sqref="D53"/>
      <selection pane="topRight" activeCell="D53" sqref="D53"/>
      <selection pane="bottomLeft" activeCell="D53" sqref="D53"/>
      <selection pane="bottomRight" activeCell="AQ6" sqref="AQ6"/>
    </sheetView>
  </sheetViews>
  <sheetFormatPr baseColWidth="10" defaultColWidth="11.42578125" defaultRowHeight="12" x14ac:dyDescent="0.2"/>
  <cols>
    <col min="1" max="14" width="11.42578125" style="2"/>
    <col min="15" max="15" width="0" style="2" hidden="1" customWidth="1"/>
    <col min="16" max="22" width="11.42578125" style="2"/>
    <col min="23" max="25" width="0" style="2" hidden="1" customWidth="1"/>
    <col min="26" max="37" width="11.42578125" style="2"/>
    <col min="38" max="38" width="13.85546875" style="2" bestFit="1" customWidth="1"/>
    <col min="39" max="43" width="13.85546875" style="2" customWidth="1"/>
    <col min="44" max="44" width="11.42578125" style="2"/>
    <col min="45" max="45" width="13.42578125" style="2" customWidth="1"/>
    <col min="46" max="46" width="11.42578125" style="29"/>
    <col min="47" max="47" width="11.42578125" style="23"/>
    <col min="48" max="16384" width="11.42578125" style="2"/>
  </cols>
  <sheetData>
    <row r="2" spans="1:48" x14ac:dyDescent="0.2">
      <c r="A2" s="2" t="s">
        <v>80</v>
      </c>
    </row>
    <row r="3" spans="1:48" x14ac:dyDescent="0.2">
      <c r="A3" s="2" t="s">
        <v>0</v>
      </c>
    </row>
    <row r="5" spans="1:48" s="42" customFormat="1" x14ac:dyDescent="0.2">
      <c r="AT5" s="43"/>
      <c r="AU5" s="44"/>
    </row>
    <row r="6" spans="1:48" ht="36" x14ac:dyDescent="0.2">
      <c r="A6" s="35" t="s">
        <v>1</v>
      </c>
      <c r="B6" s="35" t="s">
        <v>2</v>
      </c>
      <c r="C6" s="35" t="s">
        <v>3</v>
      </c>
      <c r="D6" s="35" t="s">
        <v>97</v>
      </c>
      <c r="E6" s="35" t="s">
        <v>4</v>
      </c>
      <c r="F6" s="35" t="s">
        <v>5</v>
      </c>
      <c r="G6" s="35" t="s">
        <v>6</v>
      </c>
      <c r="H6" s="35" t="s">
        <v>104</v>
      </c>
      <c r="I6" s="35" t="s">
        <v>74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/>
      <c r="P6" s="35" t="s">
        <v>13</v>
      </c>
      <c r="Q6" s="35" t="s">
        <v>14</v>
      </c>
      <c r="R6" s="35" t="s">
        <v>15</v>
      </c>
      <c r="S6" s="35" t="s">
        <v>16</v>
      </c>
      <c r="T6" s="35" t="s">
        <v>17</v>
      </c>
      <c r="U6" s="35" t="s">
        <v>18</v>
      </c>
      <c r="V6" s="36" t="s">
        <v>19</v>
      </c>
      <c r="W6" s="35"/>
      <c r="X6" s="36"/>
      <c r="Y6" s="36"/>
      <c r="Z6" s="36" t="s">
        <v>23</v>
      </c>
      <c r="AA6" s="36" t="s">
        <v>24</v>
      </c>
      <c r="AB6" s="36" t="s">
        <v>25</v>
      </c>
      <c r="AC6" s="35" t="s">
        <v>26</v>
      </c>
      <c r="AD6" s="36" t="s">
        <v>27</v>
      </c>
      <c r="AE6" s="36" t="s">
        <v>28</v>
      </c>
      <c r="AF6" s="36" t="s">
        <v>29</v>
      </c>
      <c r="AG6" s="54" t="s">
        <v>89</v>
      </c>
      <c r="AH6" s="35" t="s">
        <v>30</v>
      </c>
      <c r="AI6" s="36" t="s">
        <v>31</v>
      </c>
      <c r="AJ6" s="36" t="s">
        <v>32</v>
      </c>
      <c r="AK6" s="41" t="s">
        <v>75</v>
      </c>
      <c r="AL6" s="35" t="s">
        <v>76</v>
      </c>
      <c r="AM6" s="36" t="s">
        <v>83</v>
      </c>
      <c r="AN6" s="73" t="s">
        <v>107</v>
      </c>
      <c r="AO6" s="73" t="s">
        <v>99</v>
      </c>
      <c r="AP6" s="73" t="s">
        <v>100</v>
      </c>
      <c r="AQ6" s="35" t="s">
        <v>95</v>
      </c>
      <c r="AR6" s="36" t="s">
        <v>77</v>
      </c>
      <c r="AS6" s="36" t="s">
        <v>88</v>
      </c>
      <c r="AT6" s="35" t="s">
        <v>33</v>
      </c>
      <c r="AU6" s="22" t="s">
        <v>34</v>
      </c>
    </row>
    <row r="8" spans="1:48" x14ac:dyDescent="0.2">
      <c r="A8" s="2" t="s">
        <v>36</v>
      </c>
      <c r="B8" s="2">
        <v>313000</v>
      </c>
      <c r="C8" s="2">
        <v>105500</v>
      </c>
      <c r="D8" s="25">
        <v>56750</v>
      </c>
      <c r="E8" s="2">
        <v>88650</v>
      </c>
      <c r="F8" s="2">
        <v>272900</v>
      </c>
      <c r="G8" s="2">
        <v>50943.5</v>
      </c>
      <c r="H8" s="25">
        <v>38000</v>
      </c>
      <c r="I8" s="2">
        <v>464900</v>
      </c>
      <c r="J8" s="2">
        <v>189727.81000000006</v>
      </c>
      <c r="K8" s="2">
        <v>19000</v>
      </c>
      <c r="L8" s="2">
        <v>88299.999999999942</v>
      </c>
      <c r="M8" s="6">
        <v>53600</v>
      </c>
      <c r="R8" s="2">
        <v>97750</v>
      </c>
      <c r="S8" s="2">
        <v>98250</v>
      </c>
      <c r="T8" s="2">
        <v>55750</v>
      </c>
      <c r="V8" s="2">
        <v>54000</v>
      </c>
      <c r="Z8" s="2">
        <v>36000</v>
      </c>
      <c r="AA8" s="2">
        <v>38000</v>
      </c>
      <c r="AC8" s="2">
        <v>86500</v>
      </c>
      <c r="AD8" s="2">
        <v>38000</v>
      </c>
      <c r="AE8" s="2">
        <v>19500</v>
      </c>
      <c r="AF8" s="2">
        <v>84500</v>
      </c>
      <c r="AH8" s="2">
        <v>252500</v>
      </c>
      <c r="AI8" s="2">
        <v>55750</v>
      </c>
      <c r="AK8" s="2">
        <v>57200</v>
      </c>
      <c r="AM8" s="2">
        <v>41000</v>
      </c>
      <c r="AO8" s="2">
        <v>18500</v>
      </c>
      <c r="AP8" s="2">
        <v>232000</v>
      </c>
      <c r="AQ8" s="2">
        <v>18700</v>
      </c>
      <c r="AT8" s="29">
        <f>SUM(B8:AS8)</f>
        <v>3025171.31</v>
      </c>
      <c r="AU8" s="23">
        <f>+AT8/$AT$13</f>
        <v>0.99291052796476542</v>
      </c>
    </row>
    <row r="9" spans="1:48" x14ac:dyDescent="0.2">
      <c r="A9" s="2" t="s">
        <v>94</v>
      </c>
      <c r="M9" s="6">
        <v>21600</v>
      </c>
      <c r="AT9" s="29">
        <f>SUM(B9:AS9)</f>
        <v>21600</v>
      </c>
      <c r="AU9" s="23">
        <f>+AT9/$AT$13</f>
        <v>7.0894720352345708E-3</v>
      </c>
    </row>
    <row r="10" spans="1:48" x14ac:dyDescent="0.2">
      <c r="AT10" s="29">
        <f>SUM(B10:AS10)</f>
        <v>0</v>
      </c>
      <c r="AU10" s="23">
        <f>+AT10/$AT$13</f>
        <v>0</v>
      </c>
    </row>
    <row r="11" spans="1:48" x14ac:dyDescent="0.2">
      <c r="AT11" s="29">
        <f>SUM(B11:AS11)</f>
        <v>0</v>
      </c>
      <c r="AU11" s="23">
        <f>+AT11/$AT$13</f>
        <v>0</v>
      </c>
    </row>
    <row r="12" spans="1:48" x14ac:dyDescent="0.2">
      <c r="AT12" s="29">
        <f>SUM(B12:AS12)</f>
        <v>0</v>
      </c>
      <c r="AU12" s="23">
        <f>+AT12/$AT$13</f>
        <v>0</v>
      </c>
    </row>
    <row r="13" spans="1:48" ht="12.75" thickBot="1" x14ac:dyDescent="0.25">
      <c r="A13" s="14" t="s">
        <v>37</v>
      </c>
      <c r="B13" s="14">
        <f>SUM(B8:B12)</f>
        <v>313000</v>
      </c>
      <c r="C13" s="14">
        <f t="shared" ref="C13:AS13" si="0">SUM(C8:C12)</f>
        <v>105500</v>
      </c>
      <c r="D13" s="14">
        <f t="shared" si="0"/>
        <v>56750</v>
      </c>
      <c r="E13" s="14">
        <f t="shared" si="0"/>
        <v>88650</v>
      </c>
      <c r="F13" s="14">
        <f t="shared" si="0"/>
        <v>272900</v>
      </c>
      <c r="G13" s="14">
        <f t="shared" si="0"/>
        <v>50943.5</v>
      </c>
      <c r="H13" s="14">
        <f t="shared" si="0"/>
        <v>38000</v>
      </c>
      <c r="I13" s="14">
        <f t="shared" si="0"/>
        <v>464900</v>
      </c>
      <c r="J13" s="14">
        <f t="shared" si="0"/>
        <v>189727.81000000006</v>
      </c>
      <c r="K13" s="14">
        <f t="shared" si="0"/>
        <v>19000</v>
      </c>
      <c r="L13" s="14">
        <f t="shared" si="0"/>
        <v>88299.999999999942</v>
      </c>
      <c r="M13" s="14">
        <f t="shared" si="0"/>
        <v>75200</v>
      </c>
      <c r="N13" s="14">
        <f t="shared" si="0"/>
        <v>0</v>
      </c>
      <c r="O13" s="14">
        <f t="shared" si="0"/>
        <v>0</v>
      </c>
      <c r="P13" s="14">
        <f t="shared" si="0"/>
        <v>0</v>
      </c>
      <c r="Q13" s="14">
        <f t="shared" si="0"/>
        <v>0</v>
      </c>
      <c r="R13" s="14">
        <f t="shared" si="0"/>
        <v>97750</v>
      </c>
      <c r="S13" s="14">
        <f t="shared" si="0"/>
        <v>98250</v>
      </c>
      <c r="T13" s="14">
        <f t="shared" si="0"/>
        <v>55750</v>
      </c>
      <c r="U13" s="14">
        <f t="shared" si="0"/>
        <v>0</v>
      </c>
      <c r="V13" s="14">
        <f t="shared" si="0"/>
        <v>54000</v>
      </c>
      <c r="W13" s="14">
        <f t="shared" si="0"/>
        <v>0</v>
      </c>
      <c r="X13" s="14">
        <f t="shared" si="0"/>
        <v>0</v>
      </c>
      <c r="Y13" s="14">
        <f t="shared" si="0"/>
        <v>0</v>
      </c>
      <c r="Z13" s="14">
        <f t="shared" si="0"/>
        <v>36000</v>
      </c>
      <c r="AA13" s="14">
        <f t="shared" si="0"/>
        <v>38000</v>
      </c>
      <c r="AB13" s="14">
        <f t="shared" si="0"/>
        <v>0</v>
      </c>
      <c r="AC13" s="14">
        <f t="shared" si="0"/>
        <v>86500</v>
      </c>
      <c r="AD13" s="14">
        <f t="shared" si="0"/>
        <v>38000</v>
      </c>
      <c r="AE13" s="14">
        <f t="shared" si="0"/>
        <v>19500</v>
      </c>
      <c r="AF13" s="14">
        <f t="shared" si="0"/>
        <v>84500</v>
      </c>
      <c r="AG13" s="14">
        <f t="shared" si="0"/>
        <v>0</v>
      </c>
      <c r="AH13" s="14">
        <f t="shared" si="0"/>
        <v>252500</v>
      </c>
      <c r="AI13" s="14">
        <f t="shared" si="0"/>
        <v>55750</v>
      </c>
      <c r="AJ13" s="14">
        <f t="shared" si="0"/>
        <v>0</v>
      </c>
      <c r="AK13" s="14">
        <f t="shared" si="0"/>
        <v>57200</v>
      </c>
      <c r="AL13" s="14">
        <f t="shared" si="0"/>
        <v>0</v>
      </c>
      <c r="AM13" s="14">
        <f t="shared" si="0"/>
        <v>41000</v>
      </c>
      <c r="AN13" s="14">
        <f t="shared" si="0"/>
        <v>0</v>
      </c>
      <c r="AO13" s="14">
        <f t="shared" si="0"/>
        <v>18500</v>
      </c>
      <c r="AP13" s="14">
        <f t="shared" si="0"/>
        <v>232000</v>
      </c>
      <c r="AQ13" s="14">
        <f t="shared" si="0"/>
        <v>18700</v>
      </c>
      <c r="AR13" s="14">
        <f t="shared" si="0"/>
        <v>0</v>
      </c>
      <c r="AS13" s="14">
        <f t="shared" si="0"/>
        <v>0</v>
      </c>
      <c r="AT13" s="14">
        <f>SUM(AT8:AT12)</f>
        <v>3046771.31</v>
      </c>
      <c r="AU13" s="10">
        <f>SUM(AU8:AU12)</f>
        <v>1</v>
      </c>
    </row>
    <row r="14" spans="1:48" ht="12.75" thickTop="1" x14ac:dyDescent="0.2"/>
    <row r="15" spans="1:48" x14ac:dyDescent="0.2">
      <c r="A15" s="2" t="s">
        <v>39</v>
      </c>
      <c r="B15" s="25">
        <v>124851.84999999998</v>
      </c>
      <c r="C15" s="25">
        <v>12123.29</v>
      </c>
      <c r="D15" s="25">
        <v>27145.880000000005</v>
      </c>
      <c r="E15" s="25">
        <v>45676.56</v>
      </c>
      <c r="F15" s="25">
        <v>95969.739999999991</v>
      </c>
      <c r="G15" s="25">
        <v>27256.319999999978</v>
      </c>
      <c r="H15" s="68">
        <v>18188</v>
      </c>
      <c r="I15" s="25">
        <v>186138.47000000009</v>
      </c>
      <c r="J15" s="25">
        <v>63923.410000000033</v>
      </c>
      <c r="K15" s="25">
        <v>8805</v>
      </c>
      <c r="L15" s="25">
        <v>43635.850000000006</v>
      </c>
      <c r="M15" s="25">
        <v>27712.840000000011</v>
      </c>
      <c r="N15" s="25"/>
      <c r="O15" s="25"/>
      <c r="P15" s="25"/>
      <c r="Q15" s="25"/>
      <c r="R15" s="25">
        <v>43098.51999999999</v>
      </c>
      <c r="S15" s="25">
        <v>42926.320000000007</v>
      </c>
      <c r="T15" s="25">
        <v>22529.5</v>
      </c>
      <c r="U15" s="25"/>
      <c r="V15" s="25">
        <v>16040.799999999988</v>
      </c>
      <c r="W15" s="25"/>
      <c r="X15" s="25"/>
      <c r="Y15" s="25"/>
      <c r="Z15" s="25">
        <v>9269</v>
      </c>
      <c r="AA15" s="25">
        <v>20707.839999999997</v>
      </c>
      <c r="AB15" s="25"/>
      <c r="AC15" s="25">
        <v>33905.440000000002</v>
      </c>
      <c r="AD15" s="25">
        <v>18288.180000000008</v>
      </c>
      <c r="AE15" s="25">
        <v>8805</v>
      </c>
      <c r="AF15" s="25">
        <v>39273.040000000008</v>
      </c>
      <c r="AG15" s="25"/>
      <c r="AH15" s="25">
        <v>109814.54000000004</v>
      </c>
      <c r="AI15" s="25">
        <v>31252.11</v>
      </c>
      <c r="AJ15" s="25"/>
      <c r="AK15" s="25">
        <v>28902.880000000005</v>
      </c>
      <c r="AL15" s="25"/>
      <c r="AM15" s="25">
        <v>15317</v>
      </c>
      <c r="AN15" s="25"/>
      <c r="AO15" s="25">
        <v>8805</v>
      </c>
      <c r="AP15" s="25">
        <v>83024.549999999988</v>
      </c>
      <c r="AQ15" s="25">
        <v>8805</v>
      </c>
      <c r="AR15" s="25"/>
      <c r="AS15" s="25">
        <v>278286.87</v>
      </c>
      <c r="AT15" s="30">
        <f t="shared" ref="AT15:AT44" si="1">SUM(B15:AS15)</f>
        <v>1500478.8000000003</v>
      </c>
      <c r="AU15" s="23">
        <f t="shared" ref="AU15:AU44" si="2">+AT15/$AT$45</f>
        <v>0.55225022104766885</v>
      </c>
      <c r="AV15" s="2" t="s">
        <v>68</v>
      </c>
    </row>
    <row r="16" spans="1:48" x14ac:dyDescent="0.2">
      <c r="A16" s="2" t="s">
        <v>40</v>
      </c>
      <c r="B16" s="25">
        <v>14969.039999999994</v>
      </c>
      <c r="C16" s="25">
        <v>1015.3000000000001</v>
      </c>
      <c r="D16" s="25">
        <v>3172.7200000000012</v>
      </c>
      <c r="E16" s="25">
        <v>5250.8500000000022</v>
      </c>
      <c r="F16" s="25">
        <v>10766.830000000002</v>
      </c>
      <c r="G16" s="25">
        <v>3187.6000000000004</v>
      </c>
      <c r="H16" s="68">
        <v>2084.84</v>
      </c>
      <c r="I16" s="25">
        <v>23478.080000000016</v>
      </c>
      <c r="J16" s="25">
        <v>8204.18</v>
      </c>
      <c r="K16" s="25">
        <v>1047.5900000000001</v>
      </c>
      <c r="L16" s="25">
        <v>5028.7099999999991</v>
      </c>
      <c r="M16" s="25">
        <v>3200.6100000000006</v>
      </c>
      <c r="N16" s="25"/>
      <c r="O16" s="25"/>
      <c r="P16" s="25"/>
      <c r="Q16" s="25"/>
      <c r="R16" s="25">
        <v>5235.2200000000012</v>
      </c>
      <c r="S16" s="25">
        <v>5262.3200000000033</v>
      </c>
      <c r="T16" s="25">
        <v>2120.5100000000002</v>
      </c>
      <c r="U16" s="25"/>
      <c r="V16" s="25">
        <v>1857.4400000000023</v>
      </c>
      <c r="W16" s="25"/>
      <c r="X16" s="25"/>
      <c r="Y16" s="25"/>
      <c r="Z16" s="25">
        <v>1045.2899999999991</v>
      </c>
      <c r="AA16" s="25">
        <v>2118.4799999999996</v>
      </c>
      <c r="AB16" s="25"/>
      <c r="AC16" s="25">
        <v>4222.6799999999967</v>
      </c>
      <c r="AD16" s="25">
        <v>2091.1100000000006</v>
      </c>
      <c r="AE16" s="25">
        <v>1042.7299999999996</v>
      </c>
      <c r="AF16" s="25">
        <v>5298.41</v>
      </c>
      <c r="AG16" s="25"/>
      <c r="AH16" s="25">
        <v>12776.889999999992</v>
      </c>
      <c r="AI16" s="25">
        <v>2727.1999999999989</v>
      </c>
      <c r="AJ16" s="25"/>
      <c r="AK16" s="25">
        <v>3172.6900000000005</v>
      </c>
      <c r="AL16" s="25"/>
      <c r="AM16" s="25">
        <v>1956.9599999999991</v>
      </c>
      <c r="AN16" s="25"/>
      <c r="AO16" s="25">
        <v>1046.2600000000002</v>
      </c>
      <c r="AP16" s="25">
        <v>10242.43</v>
      </c>
      <c r="AQ16" s="25">
        <v>1040.9699999999993</v>
      </c>
      <c r="AR16" s="25"/>
      <c r="AS16" s="25">
        <v>34827.440000000002</v>
      </c>
      <c r="AT16" s="30">
        <f t="shared" si="1"/>
        <v>179491.37999999998</v>
      </c>
      <c r="AU16" s="23">
        <f t="shared" si="2"/>
        <v>6.6061682631671378E-2</v>
      </c>
      <c r="AV16" s="2" t="s">
        <v>68</v>
      </c>
    </row>
    <row r="17" spans="1:48" x14ac:dyDescent="0.2">
      <c r="A17" s="2" t="s">
        <v>41</v>
      </c>
      <c r="B17" s="25">
        <v>12115.199999999997</v>
      </c>
      <c r="C17" s="25">
        <v>1505.9300000000003</v>
      </c>
      <c r="D17" s="25">
        <v>2340.88</v>
      </c>
      <c r="E17" s="25">
        <v>3938.5</v>
      </c>
      <c r="F17" s="25">
        <v>8412.3300000000017</v>
      </c>
      <c r="G17" s="25">
        <v>2375.83</v>
      </c>
      <c r="H17" s="68">
        <v>1566.63</v>
      </c>
      <c r="I17" s="25">
        <v>16795.009999999995</v>
      </c>
      <c r="J17" s="25">
        <v>4937.8799999999974</v>
      </c>
      <c r="K17" s="25">
        <v>784.10999999999967</v>
      </c>
      <c r="L17" s="25">
        <v>3713.1500000000015</v>
      </c>
      <c r="M17" s="25">
        <v>2432.6000000000004</v>
      </c>
      <c r="N17" s="25"/>
      <c r="O17" s="25"/>
      <c r="P17" s="25"/>
      <c r="Q17" s="25"/>
      <c r="R17" s="25">
        <v>3856.489999999998</v>
      </c>
      <c r="S17" s="25">
        <v>4009.5399999999991</v>
      </c>
      <c r="T17" s="25">
        <v>1647.79</v>
      </c>
      <c r="U17" s="25"/>
      <c r="V17" s="25">
        <v>1399.1200000000008</v>
      </c>
      <c r="W17" s="25"/>
      <c r="X17" s="25"/>
      <c r="Y17" s="25"/>
      <c r="Z17" s="25">
        <v>24.619999999999891</v>
      </c>
      <c r="AA17" s="25">
        <v>1650.3599999999988</v>
      </c>
      <c r="AB17" s="25"/>
      <c r="AC17" s="25">
        <v>3174.1899999999987</v>
      </c>
      <c r="AD17" s="25">
        <v>1577.5</v>
      </c>
      <c r="AE17" s="25">
        <v>783.42000000000053</v>
      </c>
      <c r="AF17" s="25">
        <v>4272.93</v>
      </c>
      <c r="AG17" s="25"/>
      <c r="AH17" s="25">
        <v>9772.8499999999985</v>
      </c>
      <c r="AI17" s="25">
        <v>1451.5900000000001</v>
      </c>
      <c r="AJ17" s="25"/>
      <c r="AK17" s="25">
        <v>2393.8700000000008</v>
      </c>
      <c r="AL17" s="25"/>
      <c r="AM17" s="25">
        <v>1446.3100000000013</v>
      </c>
      <c r="AN17" s="25"/>
      <c r="AO17" s="25">
        <v>786.82999999999993</v>
      </c>
      <c r="AP17" s="25">
        <v>7690.5600000000049</v>
      </c>
      <c r="AQ17" s="25">
        <v>977.58000000000038</v>
      </c>
      <c r="AR17" s="25"/>
      <c r="AS17" s="25">
        <v>15922.26</v>
      </c>
      <c r="AT17" s="30">
        <f t="shared" si="1"/>
        <v>123755.85999999999</v>
      </c>
      <c r="AU17" s="23">
        <f t="shared" si="2"/>
        <v>4.5548261688831818E-2</v>
      </c>
      <c r="AV17" s="2" t="s">
        <v>68</v>
      </c>
    </row>
    <row r="18" spans="1:48" x14ac:dyDescent="0.2">
      <c r="A18" s="2" t="s">
        <v>42</v>
      </c>
      <c r="B18" s="25">
        <v>7140.4599999999991</v>
      </c>
      <c r="C18" s="25">
        <v>941.97</v>
      </c>
      <c r="D18" s="25">
        <v>1388.1</v>
      </c>
      <c r="E18" s="25">
        <v>2335.4599999999991</v>
      </c>
      <c r="F18" s="25">
        <v>5389.25</v>
      </c>
      <c r="G18" s="25">
        <v>1408.829999999999</v>
      </c>
      <c r="H18" s="68">
        <v>928.98</v>
      </c>
      <c r="I18" s="25">
        <v>9943.39</v>
      </c>
      <c r="J18" s="25">
        <v>2928.0800000000017</v>
      </c>
      <c r="K18" s="25">
        <v>464.97</v>
      </c>
      <c r="L18" s="25">
        <v>2600.0499999999993</v>
      </c>
      <c r="M18" s="25">
        <v>1438.58</v>
      </c>
      <c r="N18" s="25"/>
      <c r="O18" s="25"/>
      <c r="P18" s="25"/>
      <c r="Q18" s="25"/>
      <c r="R18" s="25">
        <v>2282.7199999999993</v>
      </c>
      <c r="S18" s="25">
        <v>2377.5800000000017</v>
      </c>
      <c r="T18" s="25">
        <v>977.10999999999967</v>
      </c>
      <c r="U18" s="25"/>
      <c r="V18" s="25">
        <v>1163.6400000000003</v>
      </c>
      <c r="W18" s="25"/>
      <c r="X18" s="25"/>
      <c r="Y18" s="25"/>
      <c r="Z18" s="25">
        <v>14.599999999999454</v>
      </c>
      <c r="AA18" s="25">
        <v>974.74000000000069</v>
      </c>
      <c r="AB18" s="25"/>
      <c r="AC18" s="25">
        <v>1882.2299999999996</v>
      </c>
      <c r="AD18" s="25">
        <v>935.42000000000007</v>
      </c>
      <c r="AE18" s="25">
        <v>464.55000000000018</v>
      </c>
      <c r="AF18" s="25">
        <v>2195.8900000000012</v>
      </c>
      <c r="AG18" s="25"/>
      <c r="AH18" s="25">
        <v>5795.1000000000022</v>
      </c>
      <c r="AI18" s="25">
        <v>860.77</v>
      </c>
      <c r="AJ18" s="25"/>
      <c r="AK18" s="25">
        <v>1419.5199999999995</v>
      </c>
      <c r="AL18" s="25"/>
      <c r="AM18" s="25">
        <v>857.63000000000011</v>
      </c>
      <c r="AN18" s="25"/>
      <c r="AO18" s="25">
        <v>466.57000000000016</v>
      </c>
      <c r="AP18" s="25">
        <v>4560.3500000000022</v>
      </c>
      <c r="AQ18" s="25">
        <v>579.69000000000005</v>
      </c>
      <c r="AR18" s="25"/>
      <c r="AS18" s="25">
        <v>8957.57</v>
      </c>
      <c r="AT18" s="30">
        <f t="shared" si="1"/>
        <v>73673.799999999988</v>
      </c>
      <c r="AU18" s="23">
        <f t="shared" si="2"/>
        <v>2.7115592926352398E-2</v>
      </c>
      <c r="AV18" s="2" t="s">
        <v>68</v>
      </c>
    </row>
    <row r="19" spans="1:48" x14ac:dyDescent="0.2">
      <c r="A19" s="2" t="s">
        <v>43</v>
      </c>
      <c r="B19" s="25">
        <v>5258.989999999998</v>
      </c>
      <c r="C19" s="25">
        <v>510.66000000000008</v>
      </c>
      <c r="D19" s="25">
        <v>1143.4300000000003</v>
      </c>
      <c r="E19" s="25">
        <v>1923.9799999999996</v>
      </c>
      <c r="F19" s="25">
        <v>4042.4199999999983</v>
      </c>
      <c r="G19" s="25">
        <v>1148.0900000000001</v>
      </c>
      <c r="H19" s="68">
        <v>766.11</v>
      </c>
      <c r="I19" s="25">
        <v>7840.4900000000052</v>
      </c>
      <c r="J19" s="25">
        <v>2692.5700000000033</v>
      </c>
      <c r="K19" s="25">
        <v>370.87999999999988</v>
      </c>
      <c r="L19" s="25">
        <v>1838</v>
      </c>
      <c r="M19" s="25">
        <v>1167.3200000000006</v>
      </c>
      <c r="N19" s="25"/>
      <c r="O19" s="25"/>
      <c r="P19" s="25"/>
      <c r="Q19" s="25"/>
      <c r="R19" s="25">
        <v>1815.3900000000012</v>
      </c>
      <c r="S19" s="25">
        <v>1808.1399999999994</v>
      </c>
      <c r="T19" s="25">
        <v>948.97999999999956</v>
      </c>
      <c r="U19" s="25"/>
      <c r="V19" s="25">
        <v>675.67000000000007</v>
      </c>
      <c r="W19" s="25"/>
      <c r="X19" s="25"/>
      <c r="Y19" s="25"/>
      <c r="Z19" s="25">
        <v>390.42999999999984</v>
      </c>
      <c r="AA19" s="25">
        <v>872.25</v>
      </c>
      <c r="AB19" s="25"/>
      <c r="AC19" s="25">
        <v>1428.1599999999989</v>
      </c>
      <c r="AD19" s="25">
        <v>770.32999999999993</v>
      </c>
      <c r="AE19" s="25">
        <v>370.88000000000011</v>
      </c>
      <c r="AF19" s="25">
        <v>1654.2500000000009</v>
      </c>
      <c r="AG19" s="25"/>
      <c r="AH19" s="25">
        <v>4625.5899999999965</v>
      </c>
      <c r="AI19" s="25">
        <v>1316.3999999999996</v>
      </c>
      <c r="AJ19" s="25"/>
      <c r="AK19" s="25">
        <v>1217.4400000000005</v>
      </c>
      <c r="AL19" s="25"/>
      <c r="AM19" s="25">
        <v>645.17999999999938</v>
      </c>
      <c r="AN19" s="25"/>
      <c r="AO19" s="25">
        <v>370.88000000000011</v>
      </c>
      <c r="AP19" s="25">
        <v>3497.1499999999978</v>
      </c>
      <c r="AQ19" s="25">
        <v>370.88000000000011</v>
      </c>
      <c r="AR19" s="25"/>
      <c r="AS19" s="25">
        <v>8483.0499999999993</v>
      </c>
      <c r="AT19" s="30">
        <f t="shared" si="1"/>
        <v>59963.989999999991</v>
      </c>
      <c r="AU19" s="23">
        <f t="shared" si="2"/>
        <v>2.206970650461719E-2</v>
      </c>
    </row>
    <row r="20" spans="1:48" x14ac:dyDescent="0.2">
      <c r="A20" s="2" t="s">
        <v>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68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/>
      <c r="O20" s="25"/>
      <c r="P20" s="25"/>
      <c r="Q20" s="25"/>
      <c r="R20" s="25">
        <v>0</v>
      </c>
      <c r="S20" s="25">
        <v>0</v>
      </c>
      <c r="T20" s="25">
        <v>0</v>
      </c>
      <c r="U20" s="25"/>
      <c r="V20" s="25">
        <v>0</v>
      </c>
      <c r="W20" s="25"/>
      <c r="X20" s="25"/>
      <c r="Y20" s="25"/>
      <c r="Z20" s="25">
        <v>0</v>
      </c>
      <c r="AA20" s="25">
        <v>0</v>
      </c>
      <c r="AB20" s="25"/>
      <c r="AC20" s="25">
        <v>0</v>
      </c>
      <c r="AD20" s="25">
        <v>0</v>
      </c>
      <c r="AE20" s="25">
        <v>0</v>
      </c>
      <c r="AF20" s="25">
        <v>0</v>
      </c>
      <c r="AG20" s="25"/>
      <c r="AH20" s="25">
        <v>0</v>
      </c>
      <c r="AI20" s="25">
        <v>0</v>
      </c>
      <c r="AJ20" s="25"/>
      <c r="AK20" s="25">
        <v>0</v>
      </c>
      <c r="AL20" s="25"/>
      <c r="AM20" s="25">
        <v>0</v>
      </c>
      <c r="AN20" s="25"/>
      <c r="AO20" s="25">
        <v>0</v>
      </c>
      <c r="AP20" s="25">
        <v>0</v>
      </c>
      <c r="AQ20" s="25">
        <v>0</v>
      </c>
      <c r="AR20" s="25"/>
      <c r="AS20" s="25">
        <v>2523.79</v>
      </c>
      <c r="AT20" s="30">
        <f t="shared" si="1"/>
        <v>2523.79</v>
      </c>
      <c r="AU20" s="23">
        <f t="shared" si="2"/>
        <v>9.2887922533653651E-4</v>
      </c>
    </row>
    <row r="21" spans="1:48" x14ac:dyDescent="0.2">
      <c r="A21" s="2" t="s">
        <v>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68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/>
      <c r="O21" s="25"/>
      <c r="P21" s="25"/>
      <c r="Q21" s="25"/>
      <c r="R21" s="25">
        <v>0</v>
      </c>
      <c r="S21" s="25">
        <v>0</v>
      </c>
      <c r="T21" s="25">
        <v>0</v>
      </c>
      <c r="U21" s="25"/>
      <c r="V21" s="25">
        <v>0</v>
      </c>
      <c r="W21" s="25"/>
      <c r="X21" s="25"/>
      <c r="Y21" s="25"/>
      <c r="Z21" s="25">
        <v>0</v>
      </c>
      <c r="AA21" s="25">
        <v>0</v>
      </c>
      <c r="AB21" s="25"/>
      <c r="AC21" s="25">
        <v>0</v>
      </c>
      <c r="AD21" s="25">
        <v>0</v>
      </c>
      <c r="AE21" s="25">
        <v>0</v>
      </c>
      <c r="AF21" s="25">
        <v>0</v>
      </c>
      <c r="AG21" s="25"/>
      <c r="AH21" s="25">
        <v>0</v>
      </c>
      <c r="AI21" s="25">
        <v>0</v>
      </c>
      <c r="AJ21" s="25"/>
      <c r="AK21" s="25">
        <v>0</v>
      </c>
      <c r="AL21" s="25"/>
      <c r="AM21" s="25">
        <v>0</v>
      </c>
      <c r="AN21" s="25"/>
      <c r="AO21" s="25">
        <v>0</v>
      </c>
      <c r="AP21" s="25">
        <v>0</v>
      </c>
      <c r="AQ21" s="25">
        <v>0</v>
      </c>
      <c r="AR21" s="25"/>
      <c r="AS21" s="25">
        <v>638.79999999999995</v>
      </c>
      <c r="AT21" s="30">
        <f t="shared" si="1"/>
        <v>638.79999999999995</v>
      </c>
      <c r="AU21" s="23">
        <f t="shared" si="2"/>
        <v>2.351099137190414E-4</v>
      </c>
    </row>
    <row r="22" spans="1:48" x14ac:dyDescent="0.2">
      <c r="A22" s="2" t="s">
        <v>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68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/>
      <c r="O22" s="25"/>
      <c r="P22" s="25"/>
      <c r="Q22" s="25"/>
      <c r="R22" s="25">
        <v>0</v>
      </c>
      <c r="S22" s="25">
        <v>0</v>
      </c>
      <c r="T22" s="25">
        <v>0</v>
      </c>
      <c r="U22" s="25"/>
      <c r="V22" s="25">
        <v>0</v>
      </c>
      <c r="W22" s="25"/>
      <c r="X22" s="25"/>
      <c r="Y22" s="25"/>
      <c r="Z22" s="25">
        <v>0</v>
      </c>
      <c r="AA22" s="25">
        <v>0</v>
      </c>
      <c r="AB22" s="25"/>
      <c r="AC22" s="25">
        <v>0</v>
      </c>
      <c r="AD22" s="25">
        <v>0</v>
      </c>
      <c r="AE22" s="25">
        <v>0</v>
      </c>
      <c r="AF22" s="25">
        <v>0</v>
      </c>
      <c r="AG22" s="25"/>
      <c r="AH22" s="25">
        <v>0</v>
      </c>
      <c r="AI22" s="25">
        <v>0</v>
      </c>
      <c r="AJ22" s="25"/>
      <c r="AK22" s="25">
        <v>0</v>
      </c>
      <c r="AL22" s="25"/>
      <c r="AM22" s="25">
        <v>0</v>
      </c>
      <c r="AN22" s="25"/>
      <c r="AO22" s="25">
        <v>0</v>
      </c>
      <c r="AP22" s="25">
        <v>0</v>
      </c>
      <c r="AQ22" s="25">
        <v>0</v>
      </c>
      <c r="AR22" s="25"/>
      <c r="AS22" s="25">
        <v>0</v>
      </c>
      <c r="AT22" s="30">
        <f t="shared" si="1"/>
        <v>0</v>
      </c>
      <c r="AU22" s="23">
        <f t="shared" si="2"/>
        <v>0</v>
      </c>
    </row>
    <row r="23" spans="1:48" x14ac:dyDescent="0.2">
      <c r="A23" s="2" t="s">
        <v>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68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/>
      <c r="O23" s="25"/>
      <c r="P23" s="25"/>
      <c r="Q23" s="25"/>
      <c r="R23" s="25">
        <v>0</v>
      </c>
      <c r="S23" s="25">
        <v>0</v>
      </c>
      <c r="T23" s="25">
        <v>0</v>
      </c>
      <c r="U23" s="25"/>
      <c r="V23" s="25">
        <v>0</v>
      </c>
      <c r="W23" s="25"/>
      <c r="X23" s="25"/>
      <c r="Y23" s="25"/>
      <c r="Z23" s="25">
        <v>0</v>
      </c>
      <c r="AA23" s="25">
        <v>0</v>
      </c>
      <c r="AB23" s="25"/>
      <c r="AC23" s="25">
        <v>0</v>
      </c>
      <c r="AD23" s="25">
        <v>0</v>
      </c>
      <c r="AE23" s="25">
        <v>0</v>
      </c>
      <c r="AF23" s="25">
        <v>0</v>
      </c>
      <c r="AG23" s="25"/>
      <c r="AH23" s="25">
        <v>0</v>
      </c>
      <c r="AI23" s="25">
        <v>0</v>
      </c>
      <c r="AJ23" s="25"/>
      <c r="AK23" s="25">
        <v>0</v>
      </c>
      <c r="AL23" s="25"/>
      <c r="AM23" s="25">
        <v>0</v>
      </c>
      <c r="AN23" s="25"/>
      <c r="AO23" s="25">
        <v>0</v>
      </c>
      <c r="AP23" s="25">
        <v>0</v>
      </c>
      <c r="AQ23" s="25">
        <v>0</v>
      </c>
      <c r="AR23" s="25"/>
      <c r="AS23" s="25">
        <v>0</v>
      </c>
      <c r="AT23" s="30">
        <f t="shared" si="1"/>
        <v>0</v>
      </c>
      <c r="AU23" s="23">
        <f t="shared" si="2"/>
        <v>0</v>
      </c>
    </row>
    <row r="24" spans="1:48" x14ac:dyDescent="0.2">
      <c r="A24" s="2" t="s">
        <v>48</v>
      </c>
      <c r="B24" s="25">
        <v>283.62000000000012</v>
      </c>
      <c r="C24" s="25">
        <v>283.62000000000012</v>
      </c>
      <c r="D24" s="25">
        <v>283.62</v>
      </c>
      <c r="E24" s="25">
        <v>283.62000000000012</v>
      </c>
      <c r="F24" s="25">
        <v>283.62000000000012</v>
      </c>
      <c r="G24" s="25">
        <v>283.62000000000012</v>
      </c>
      <c r="H24" s="68">
        <v>0</v>
      </c>
      <c r="I24" s="25">
        <v>283.62</v>
      </c>
      <c r="J24" s="25">
        <v>283.62000000000012</v>
      </c>
      <c r="K24" s="25">
        <v>0</v>
      </c>
      <c r="L24" s="25">
        <v>283.62000000000012</v>
      </c>
      <c r="M24" s="25">
        <v>283.62000000000012</v>
      </c>
      <c r="N24" s="25"/>
      <c r="O24" s="25"/>
      <c r="P24" s="25"/>
      <c r="Q24" s="25"/>
      <c r="R24" s="25">
        <v>567.24000000000024</v>
      </c>
      <c r="S24" s="25">
        <v>283.62000000000012</v>
      </c>
      <c r="T24" s="25">
        <v>283.62000000000012</v>
      </c>
      <c r="U24" s="25"/>
      <c r="V24" s="25">
        <v>283.62000000000012</v>
      </c>
      <c r="W24" s="25"/>
      <c r="X24" s="25"/>
      <c r="Y24" s="25"/>
      <c r="Z24" s="25">
        <v>283.62000000000012</v>
      </c>
      <c r="AA24" s="25">
        <v>283.62000000000012</v>
      </c>
      <c r="AB24" s="25"/>
      <c r="AC24" s="25">
        <v>283.62000000000012</v>
      </c>
      <c r="AD24" s="25">
        <v>283.62000000000012</v>
      </c>
      <c r="AE24" s="25">
        <v>283.62000000000012</v>
      </c>
      <c r="AF24" s="25">
        <v>567.24000000000024</v>
      </c>
      <c r="AG24" s="25"/>
      <c r="AH24" s="25">
        <v>283.62000000000012</v>
      </c>
      <c r="AI24" s="25">
        <v>283.62000000000012</v>
      </c>
      <c r="AJ24" s="25"/>
      <c r="AK24" s="25">
        <v>283.62000000000012</v>
      </c>
      <c r="AL24" s="25"/>
      <c r="AM24" s="25">
        <v>283.62000000000012</v>
      </c>
      <c r="AN24" s="25"/>
      <c r="AO24" s="25">
        <v>283.62000000000012</v>
      </c>
      <c r="AP24" s="25">
        <v>567.24000000000024</v>
      </c>
      <c r="AQ24" s="25">
        <v>283.62000000000012</v>
      </c>
      <c r="AR24" s="25"/>
      <c r="AS24" s="25">
        <v>3747.44</v>
      </c>
      <c r="AT24" s="30">
        <f t="shared" si="1"/>
        <v>12256.040000000003</v>
      </c>
      <c r="AU24" s="23">
        <f t="shared" si="2"/>
        <v>4.510827343358048E-3</v>
      </c>
    </row>
    <row r="25" spans="1:48" x14ac:dyDescent="0.2">
      <c r="A25" s="2" t="s">
        <v>49</v>
      </c>
      <c r="B25" s="25">
        <v>222.33000000000015</v>
      </c>
      <c r="C25" s="25">
        <v>81.290000000000077</v>
      </c>
      <c r="D25" s="25">
        <v>333.03999999999996</v>
      </c>
      <c r="E25" s="25">
        <v>35.340000000000032</v>
      </c>
      <c r="F25" s="25">
        <v>318.93000000000006</v>
      </c>
      <c r="G25" s="25">
        <v>114.13</v>
      </c>
      <c r="H25" s="68">
        <v>62.16</v>
      </c>
      <c r="I25" s="25">
        <v>294.07999999999993</v>
      </c>
      <c r="J25" s="25">
        <v>164.59000000000003</v>
      </c>
      <c r="K25" s="25">
        <v>0</v>
      </c>
      <c r="L25" s="25">
        <v>111.53999999999996</v>
      </c>
      <c r="M25" s="25">
        <v>335.20000000000005</v>
      </c>
      <c r="N25" s="25"/>
      <c r="O25" s="25"/>
      <c r="P25" s="25"/>
      <c r="Q25" s="25"/>
      <c r="R25" s="25">
        <v>300.40000000000009</v>
      </c>
      <c r="S25" s="25">
        <v>181.33000000000015</v>
      </c>
      <c r="T25" s="25">
        <v>22</v>
      </c>
      <c r="U25" s="25"/>
      <c r="V25" s="25">
        <v>70.089999999999918</v>
      </c>
      <c r="W25" s="25"/>
      <c r="X25" s="25"/>
      <c r="Y25" s="25"/>
      <c r="Z25" s="25">
        <v>43.28</v>
      </c>
      <c r="AA25" s="25">
        <v>48.410000000000082</v>
      </c>
      <c r="AB25" s="25"/>
      <c r="AC25" s="25">
        <v>566.79</v>
      </c>
      <c r="AD25" s="25">
        <v>8.7999999999999829</v>
      </c>
      <c r="AE25" s="25">
        <v>0</v>
      </c>
      <c r="AF25" s="25">
        <v>85.690000000000055</v>
      </c>
      <c r="AG25" s="25"/>
      <c r="AH25" s="25">
        <v>627.11</v>
      </c>
      <c r="AI25" s="25">
        <v>271.49</v>
      </c>
      <c r="AJ25" s="25"/>
      <c r="AK25" s="25">
        <v>85.380000000000109</v>
      </c>
      <c r="AL25" s="25"/>
      <c r="AM25" s="25">
        <v>0</v>
      </c>
      <c r="AN25" s="25"/>
      <c r="AO25" s="25">
        <v>100.10000000000002</v>
      </c>
      <c r="AP25" s="25">
        <v>220.25</v>
      </c>
      <c r="AQ25" s="25">
        <v>0</v>
      </c>
      <c r="AR25" s="25"/>
      <c r="AS25" s="25">
        <v>4402.7299999999996</v>
      </c>
      <c r="AT25" s="30">
        <f t="shared" si="1"/>
        <v>9106.4800000000014</v>
      </c>
      <c r="AU25" s="23">
        <f t="shared" si="2"/>
        <v>3.3516338871073525E-3</v>
      </c>
    </row>
    <row r="26" spans="1:48" x14ac:dyDescent="0.2">
      <c r="A26" s="2" t="s">
        <v>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68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/>
      <c r="O26" s="25"/>
      <c r="P26" s="25"/>
      <c r="Q26" s="25"/>
      <c r="R26" s="25">
        <v>0</v>
      </c>
      <c r="S26" s="25">
        <v>0</v>
      </c>
      <c r="T26" s="25">
        <v>0</v>
      </c>
      <c r="U26" s="25"/>
      <c r="V26" s="25">
        <v>0</v>
      </c>
      <c r="W26" s="25"/>
      <c r="X26" s="25"/>
      <c r="Y26" s="25"/>
      <c r="Z26" s="25">
        <v>0</v>
      </c>
      <c r="AA26" s="25">
        <v>0</v>
      </c>
      <c r="AB26" s="25"/>
      <c r="AC26" s="25">
        <v>0</v>
      </c>
      <c r="AD26" s="25">
        <v>0</v>
      </c>
      <c r="AE26" s="25">
        <v>0</v>
      </c>
      <c r="AF26" s="25">
        <v>0</v>
      </c>
      <c r="AG26" s="25"/>
      <c r="AH26" s="25">
        <v>0</v>
      </c>
      <c r="AI26" s="25">
        <v>0</v>
      </c>
      <c r="AJ26" s="25"/>
      <c r="AK26" s="25">
        <v>0</v>
      </c>
      <c r="AL26" s="25"/>
      <c r="AM26" s="25">
        <v>0</v>
      </c>
      <c r="AN26" s="25"/>
      <c r="AO26" s="25">
        <v>0</v>
      </c>
      <c r="AP26" s="25">
        <v>0</v>
      </c>
      <c r="AQ26" s="25">
        <v>0</v>
      </c>
      <c r="AR26" s="25"/>
      <c r="AS26" s="25">
        <v>44837.96</v>
      </c>
      <c r="AT26" s="30">
        <f t="shared" si="1"/>
        <v>44837.96</v>
      </c>
      <c r="AU26" s="23">
        <f t="shared" si="2"/>
        <v>1.6502581256947136E-2</v>
      </c>
    </row>
    <row r="27" spans="1:48" x14ac:dyDescent="0.2">
      <c r="A27" s="2" t="s">
        <v>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68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/>
      <c r="O27" s="25"/>
      <c r="P27" s="25"/>
      <c r="Q27" s="25"/>
      <c r="R27" s="25">
        <v>0</v>
      </c>
      <c r="S27" s="25">
        <v>0</v>
      </c>
      <c r="T27" s="25">
        <v>0</v>
      </c>
      <c r="U27" s="25"/>
      <c r="V27" s="25">
        <v>0</v>
      </c>
      <c r="W27" s="25"/>
      <c r="X27" s="25"/>
      <c r="Y27" s="25"/>
      <c r="Z27" s="25">
        <v>0</v>
      </c>
      <c r="AA27" s="25">
        <v>0</v>
      </c>
      <c r="AB27" s="25"/>
      <c r="AC27" s="25">
        <v>0</v>
      </c>
      <c r="AD27" s="25">
        <v>0</v>
      </c>
      <c r="AE27" s="25">
        <v>0</v>
      </c>
      <c r="AF27" s="25">
        <v>0</v>
      </c>
      <c r="AG27" s="25"/>
      <c r="AH27" s="25">
        <v>0</v>
      </c>
      <c r="AI27" s="25">
        <v>0</v>
      </c>
      <c r="AJ27" s="25"/>
      <c r="AK27" s="25">
        <v>0</v>
      </c>
      <c r="AL27" s="25"/>
      <c r="AM27" s="25">
        <v>0</v>
      </c>
      <c r="AN27" s="25"/>
      <c r="AO27" s="25">
        <v>0</v>
      </c>
      <c r="AP27" s="25">
        <v>0</v>
      </c>
      <c r="AQ27" s="25">
        <v>0</v>
      </c>
      <c r="AR27" s="25"/>
      <c r="AS27" s="25">
        <v>0</v>
      </c>
      <c r="AT27" s="30">
        <f t="shared" si="1"/>
        <v>0</v>
      </c>
      <c r="AU27" s="23">
        <f t="shared" si="2"/>
        <v>0</v>
      </c>
    </row>
    <row r="28" spans="1:48" x14ac:dyDescent="0.2">
      <c r="A28" s="2" t="s">
        <v>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68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/>
      <c r="O28" s="25"/>
      <c r="P28" s="25"/>
      <c r="Q28" s="25"/>
      <c r="R28" s="25">
        <v>0</v>
      </c>
      <c r="S28" s="25">
        <v>0</v>
      </c>
      <c r="T28" s="25">
        <v>0</v>
      </c>
      <c r="U28" s="25"/>
      <c r="V28" s="25">
        <v>0</v>
      </c>
      <c r="W28" s="25"/>
      <c r="X28" s="25"/>
      <c r="Y28" s="25"/>
      <c r="Z28" s="25">
        <v>0</v>
      </c>
      <c r="AA28" s="25">
        <v>0</v>
      </c>
      <c r="AB28" s="25"/>
      <c r="AC28" s="25">
        <v>0</v>
      </c>
      <c r="AD28" s="25">
        <v>0</v>
      </c>
      <c r="AE28" s="25">
        <v>0</v>
      </c>
      <c r="AF28" s="25">
        <v>0</v>
      </c>
      <c r="AG28" s="25"/>
      <c r="AH28" s="25">
        <v>0</v>
      </c>
      <c r="AI28" s="25">
        <v>0</v>
      </c>
      <c r="AJ28" s="25"/>
      <c r="AK28" s="25">
        <v>0</v>
      </c>
      <c r="AL28" s="25"/>
      <c r="AM28" s="25">
        <v>0</v>
      </c>
      <c r="AN28" s="25"/>
      <c r="AO28" s="25">
        <v>0</v>
      </c>
      <c r="AP28" s="25">
        <v>0</v>
      </c>
      <c r="AQ28" s="25">
        <v>0</v>
      </c>
      <c r="AR28" s="25"/>
      <c r="AS28" s="25">
        <v>2100</v>
      </c>
      <c r="AT28" s="30">
        <f t="shared" si="1"/>
        <v>2100</v>
      </c>
      <c r="AU28" s="23">
        <f t="shared" si="2"/>
        <v>7.7290359863805105E-4</v>
      </c>
    </row>
    <row r="29" spans="1:48" x14ac:dyDescent="0.2">
      <c r="A29" s="2" t="s">
        <v>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68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/>
      <c r="O29" s="25"/>
      <c r="P29" s="25"/>
      <c r="Q29" s="25"/>
      <c r="R29" s="25">
        <v>0</v>
      </c>
      <c r="S29" s="25">
        <v>0</v>
      </c>
      <c r="T29" s="25">
        <v>0</v>
      </c>
      <c r="U29" s="25"/>
      <c r="V29" s="25">
        <v>0</v>
      </c>
      <c r="W29" s="25"/>
      <c r="X29" s="25"/>
      <c r="Y29" s="25"/>
      <c r="Z29" s="25">
        <v>0</v>
      </c>
      <c r="AA29" s="25">
        <v>0</v>
      </c>
      <c r="AB29" s="25"/>
      <c r="AC29" s="25">
        <v>0</v>
      </c>
      <c r="AD29" s="25">
        <v>0</v>
      </c>
      <c r="AE29" s="25">
        <v>0</v>
      </c>
      <c r="AF29" s="25">
        <v>0</v>
      </c>
      <c r="AG29" s="25"/>
      <c r="AH29" s="25">
        <v>0</v>
      </c>
      <c r="AI29" s="25">
        <v>0</v>
      </c>
      <c r="AJ29" s="25"/>
      <c r="AK29" s="25">
        <v>0</v>
      </c>
      <c r="AL29" s="25"/>
      <c r="AM29" s="25">
        <v>0</v>
      </c>
      <c r="AN29" s="25"/>
      <c r="AO29" s="25">
        <v>0</v>
      </c>
      <c r="AP29" s="25">
        <v>0</v>
      </c>
      <c r="AQ29" s="25">
        <v>0</v>
      </c>
      <c r="AR29" s="25"/>
      <c r="AS29" s="25">
        <v>0</v>
      </c>
      <c r="AT29" s="30">
        <f t="shared" si="1"/>
        <v>0</v>
      </c>
      <c r="AU29" s="23">
        <f t="shared" si="2"/>
        <v>0</v>
      </c>
    </row>
    <row r="30" spans="1:48" x14ac:dyDescent="0.2">
      <c r="A30" s="2" t="s">
        <v>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68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/>
      <c r="O30" s="25"/>
      <c r="P30" s="25"/>
      <c r="Q30" s="25"/>
      <c r="R30" s="25">
        <v>0</v>
      </c>
      <c r="S30" s="25">
        <v>0</v>
      </c>
      <c r="T30" s="25">
        <v>0</v>
      </c>
      <c r="U30" s="25"/>
      <c r="V30" s="25">
        <v>0</v>
      </c>
      <c r="W30" s="25"/>
      <c r="X30" s="25"/>
      <c r="Y30" s="25"/>
      <c r="Z30" s="25">
        <v>0</v>
      </c>
      <c r="AA30" s="25">
        <v>0</v>
      </c>
      <c r="AB30" s="25"/>
      <c r="AC30" s="25">
        <v>0</v>
      </c>
      <c r="AD30" s="25">
        <v>0</v>
      </c>
      <c r="AE30" s="25">
        <v>0</v>
      </c>
      <c r="AF30" s="25">
        <v>0</v>
      </c>
      <c r="AG30" s="25"/>
      <c r="AH30" s="25">
        <v>0</v>
      </c>
      <c r="AI30" s="25">
        <v>0</v>
      </c>
      <c r="AJ30" s="25"/>
      <c r="AK30" s="25">
        <v>0</v>
      </c>
      <c r="AL30" s="25"/>
      <c r="AM30" s="25">
        <v>0</v>
      </c>
      <c r="AN30" s="25"/>
      <c r="AO30" s="25">
        <v>0</v>
      </c>
      <c r="AP30" s="25">
        <v>0</v>
      </c>
      <c r="AQ30" s="25">
        <v>0</v>
      </c>
      <c r="AR30" s="25"/>
      <c r="AS30" s="25">
        <v>0</v>
      </c>
      <c r="AT30" s="30">
        <f t="shared" si="1"/>
        <v>0</v>
      </c>
      <c r="AU30" s="23">
        <f t="shared" si="2"/>
        <v>0</v>
      </c>
    </row>
    <row r="31" spans="1:48" x14ac:dyDescent="0.2">
      <c r="A31" s="2" t="s">
        <v>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68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/>
      <c r="O31" s="25"/>
      <c r="P31" s="25"/>
      <c r="Q31" s="25"/>
      <c r="R31" s="25">
        <v>0</v>
      </c>
      <c r="S31" s="25">
        <v>0</v>
      </c>
      <c r="T31" s="25">
        <v>0</v>
      </c>
      <c r="U31" s="25"/>
      <c r="V31" s="25">
        <v>0</v>
      </c>
      <c r="W31" s="25"/>
      <c r="X31" s="25"/>
      <c r="Y31" s="25"/>
      <c r="Z31" s="25">
        <v>0</v>
      </c>
      <c r="AA31" s="25">
        <v>0</v>
      </c>
      <c r="AB31" s="25"/>
      <c r="AC31" s="25">
        <v>0</v>
      </c>
      <c r="AD31" s="25">
        <v>0</v>
      </c>
      <c r="AE31" s="25">
        <v>0</v>
      </c>
      <c r="AF31" s="25">
        <v>0</v>
      </c>
      <c r="AG31" s="25"/>
      <c r="AH31" s="25">
        <v>0</v>
      </c>
      <c r="AI31" s="25">
        <v>0</v>
      </c>
      <c r="AJ31" s="25"/>
      <c r="AK31" s="25">
        <v>0</v>
      </c>
      <c r="AL31" s="25"/>
      <c r="AM31" s="25">
        <v>0</v>
      </c>
      <c r="AN31" s="25"/>
      <c r="AO31" s="25">
        <v>0</v>
      </c>
      <c r="AP31" s="25">
        <v>0</v>
      </c>
      <c r="AQ31" s="25">
        <v>0</v>
      </c>
      <c r="AR31" s="25"/>
      <c r="AS31" s="25">
        <v>18703.14</v>
      </c>
      <c r="AT31" s="30">
        <f t="shared" si="1"/>
        <v>18703.14</v>
      </c>
      <c r="AU31" s="23">
        <f t="shared" si="2"/>
        <v>6.8836781961101323E-3</v>
      </c>
    </row>
    <row r="32" spans="1:48" x14ac:dyDescent="0.2">
      <c r="A32" s="2" t="s">
        <v>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68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/>
      <c r="O32" s="25"/>
      <c r="P32" s="25"/>
      <c r="Q32" s="25"/>
      <c r="R32" s="25">
        <v>0</v>
      </c>
      <c r="S32" s="25">
        <v>0</v>
      </c>
      <c r="T32" s="25">
        <v>0</v>
      </c>
      <c r="U32" s="25"/>
      <c r="V32" s="25">
        <v>0</v>
      </c>
      <c r="W32" s="25"/>
      <c r="X32" s="25"/>
      <c r="Y32" s="25"/>
      <c r="Z32" s="25">
        <v>0</v>
      </c>
      <c r="AA32" s="25">
        <v>0</v>
      </c>
      <c r="AB32" s="25"/>
      <c r="AC32" s="25">
        <v>0</v>
      </c>
      <c r="AD32" s="25">
        <v>0</v>
      </c>
      <c r="AE32" s="25">
        <v>0</v>
      </c>
      <c r="AF32" s="25">
        <v>0</v>
      </c>
      <c r="AG32" s="25"/>
      <c r="AH32" s="25">
        <v>0</v>
      </c>
      <c r="AI32" s="25">
        <v>0</v>
      </c>
      <c r="AJ32" s="25"/>
      <c r="AK32" s="25">
        <v>0</v>
      </c>
      <c r="AL32" s="25"/>
      <c r="AM32" s="25">
        <v>0</v>
      </c>
      <c r="AN32" s="25"/>
      <c r="AO32" s="25">
        <v>0</v>
      </c>
      <c r="AP32" s="25">
        <v>0</v>
      </c>
      <c r="AQ32" s="25">
        <v>0</v>
      </c>
      <c r="AR32" s="25"/>
      <c r="AS32" s="25">
        <v>0</v>
      </c>
      <c r="AT32" s="30">
        <f t="shared" si="1"/>
        <v>0</v>
      </c>
      <c r="AU32" s="23">
        <f t="shared" si="2"/>
        <v>0</v>
      </c>
    </row>
    <row r="33" spans="1:48" x14ac:dyDescent="0.2">
      <c r="A33" s="76" t="s">
        <v>102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68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/>
      <c r="O33" s="25"/>
      <c r="P33" s="25"/>
      <c r="Q33" s="25"/>
      <c r="R33" s="25">
        <v>0</v>
      </c>
      <c r="S33" s="25">
        <v>0</v>
      </c>
      <c r="T33" s="25">
        <v>0</v>
      </c>
      <c r="U33" s="25"/>
      <c r="V33" s="25">
        <v>0</v>
      </c>
      <c r="W33" s="25"/>
      <c r="X33" s="25"/>
      <c r="Y33" s="25"/>
      <c r="Z33" s="25">
        <v>0</v>
      </c>
      <c r="AA33" s="25">
        <v>0</v>
      </c>
      <c r="AB33" s="25"/>
      <c r="AC33" s="25">
        <v>0</v>
      </c>
      <c r="AD33" s="25">
        <v>0</v>
      </c>
      <c r="AE33" s="25">
        <v>0</v>
      </c>
      <c r="AF33" s="25">
        <v>0</v>
      </c>
      <c r="AG33" s="25"/>
      <c r="AH33" s="25">
        <v>0</v>
      </c>
      <c r="AI33" s="25">
        <v>0</v>
      </c>
      <c r="AJ33" s="25"/>
      <c r="AK33" s="25">
        <v>0</v>
      </c>
      <c r="AL33" s="25"/>
      <c r="AM33" s="25">
        <v>0</v>
      </c>
      <c r="AN33" s="25"/>
      <c r="AO33" s="25">
        <v>0</v>
      </c>
      <c r="AP33" s="25">
        <v>0</v>
      </c>
      <c r="AQ33" s="25">
        <v>0</v>
      </c>
      <c r="AR33" s="25"/>
      <c r="AS33" s="25">
        <v>5000</v>
      </c>
      <c r="AT33" s="30">
        <f t="shared" si="1"/>
        <v>5000</v>
      </c>
      <c r="AU33" s="23">
        <f t="shared" si="2"/>
        <v>1.8402466634239311E-3</v>
      </c>
    </row>
    <row r="34" spans="1:48" x14ac:dyDescent="0.2">
      <c r="A34" s="2" t="s">
        <v>57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68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/>
      <c r="O34" s="25"/>
      <c r="P34" s="25"/>
      <c r="Q34" s="25"/>
      <c r="R34" s="25">
        <v>0</v>
      </c>
      <c r="S34" s="25">
        <v>0</v>
      </c>
      <c r="T34" s="25">
        <v>0</v>
      </c>
      <c r="U34" s="25"/>
      <c r="V34" s="25">
        <v>0</v>
      </c>
      <c r="W34" s="25"/>
      <c r="X34" s="25"/>
      <c r="Y34" s="25"/>
      <c r="Z34" s="25">
        <v>0</v>
      </c>
      <c r="AA34" s="25">
        <v>0</v>
      </c>
      <c r="AB34" s="25"/>
      <c r="AC34" s="25">
        <v>0</v>
      </c>
      <c r="AD34" s="25">
        <v>0</v>
      </c>
      <c r="AE34" s="25">
        <v>0</v>
      </c>
      <c r="AF34" s="25">
        <v>0</v>
      </c>
      <c r="AG34" s="25"/>
      <c r="AH34" s="25">
        <v>1543.1</v>
      </c>
      <c r="AI34" s="25">
        <v>0</v>
      </c>
      <c r="AJ34" s="25"/>
      <c r="AK34" s="25">
        <v>0</v>
      </c>
      <c r="AL34" s="25"/>
      <c r="AM34" s="25">
        <v>0</v>
      </c>
      <c r="AN34" s="25"/>
      <c r="AO34" s="25">
        <v>0</v>
      </c>
      <c r="AP34" s="25">
        <v>0</v>
      </c>
      <c r="AQ34" s="25">
        <v>0</v>
      </c>
      <c r="AR34" s="25"/>
      <c r="AS34" s="25">
        <v>8837.7800000000007</v>
      </c>
      <c r="AT34" s="30">
        <f t="shared" si="1"/>
        <v>10380.880000000001</v>
      </c>
      <c r="AU34" s="23">
        <f t="shared" si="2"/>
        <v>3.8206759566808439E-3</v>
      </c>
    </row>
    <row r="35" spans="1:48" x14ac:dyDescent="0.2">
      <c r="A35" s="2" t="s">
        <v>58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68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/>
      <c r="O35" s="25"/>
      <c r="P35" s="25"/>
      <c r="Q35" s="25"/>
      <c r="R35" s="25">
        <v>0</v>
      </c>
      <c r="S35" s="25">
        <v>0</v>
      </c>
      <c r="T35" s="25">
        <v>0</v>
      </c>
      <c r="U35" s="25"/>
      <c r="V35" s="25">
        <v>0</v>
      </c>
      <c r="W35" s="25"/>
      <c r="X35" s="25"/>
      <c r="Y35" s="25"/>
      <c r="Z35" s="25">
        <v>0</v>
      </c>
      <c r="AA35" s="25">
        <v>0</v>
      </c>
      <c r="AB35" s="25"/>
      <c r="AC35" s="25">
        <v>0</v>
      </c>
      <c r="AD35" s="25">
        <v>0</v>
      </c>
      <c r="AE35" s="25">
        <v>0</v>
      </c>
      <c r="AF35" s="25">
        <v>0</v>
      </c>
      <c r="AG35" s="25"/>
      <c r="AH35" s="25">
        <v>0</v>
      </c>
      <c r="AI35" s="25">
        <v>0</v>
      </c>
      <c r="AJ35" s="25"/>
      <c r="AK35" s="25">
        <v>0</v>
      </c>
      <c r="AL35" s="25"/>
      <c r="AM35" s="25">
        <v>0</v>
      </c>
      <c r="AN35" s="25"/>
      <c r="AO35" s="25">
        <v>0</v>
      </c>
      <c r="AP35" s="25">
        <v>0</v>
      </c>
      <c r="AQ35" s="25">
        <v>0</v>
      </c>
      <c r="AR35" s="25"/>
      <c r="AS35" s="25">
        <v>0</v>
      </c>
      <c r="AT35" s="30">
        <f t="shared" si="1"/>
        <v>0</v>
      </c>
      <c r="AU35" s="23">
        <f t="shared" si="2"/>
        <v>0</v>
      </c>
    </row>
    <row r="36" spans="1:48" x14ac:dyDescent="0.2">
      <c r="A36" s="2" t="s">
        <v>59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68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/>
      <c r="O36" s="25"/>
      <c r="P36" s="25"/>
      <c r="Q36" s="25"/>
      <c r="R36" s="25">
        <v>0</v>
      </c>
      <c r="S36" s="25">
        <v>0</v>
      </c>
      <c r="T36" s="25">
        <v>0</v>
      </c>
      <c r="U36" s="25"/>
      <c r="V36" s="25">
        <v>0</v>
      </c>
      <c r="W36" s="25"/>
      <c r="X36" s="25"/>
      <c r="Y36" s="25"/>
      <c r="Z36" s="25">
        <v>0</v>
      </c>
      <c r="AA36" s="25">
        <v>0</v>
      </c>
      <c r="AB36" s="25"/>
      <c r="AC36" s="25">
        <v>0</v>
      </c>
      <c r="AD36" s="25">
        <v>0</v>
      </c>
      <c r="AE36" s="25">
        <v>0</v>
      </c>
      <c r="AF36" s="25">
        <v>0</v>
      </c>
      <c r="AG36" s="25"/>
      <c r="AH36" s="25">
        <v>0</v>
      </c>
      <c r="AI36" s="25">
        <v>0</v>
      </c>
      <c r="AJ36" s="25"/>
      <c r="AK36" s="25">
        <v>0</v>
      </c>
      <c r="AL36" s="25"/>
      <c r="AM36" s="25">
        <v>0</v>
      </c>
      <c r="AN36" s="25"/>
      <c r="AO36" s="25">
        <v>0</v>
      </c>
      <c r="AP36" s="25">
        <v>0</v>
      </c>
      <c r="AQ36" s="25">
        <v>0</v>
      </c>
      <c r="AR36" s="25"/>
      <c r="AS36" s="25">
        <v>0</v>
      </c>
      <c r="AT36" s="30">
        <f t="shared" si="1"/>
        <v>0</v>
      </c>
      <c r="AU36" s="23">
        <f t="shared" si="2"/>
        <v>0</v>
      </c>
    </row>
    <row r="37" spans="1:48" x14ac:dyDescent="0.2">
      <c r="A37" s="2" t="s">
        <v>60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68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/>
      <c r="O37" s="25"/>
      <c r="P37" s="25"/>
      <c r="Q37" s="25"/>
      <c r="R37" s="25">
        <v>0</v>
      </c>
      <c r="S37" s="25">
        <v>0</v>
      </c>
      <c r="T37" s="25">
        <v>0</v>
      </c>
      <c r="U37" s="25"/>
      <c r="V37" s="25">
        <v>0</v>
      </c>
      <c r="W37" s="25"/>
      <c r="X37" s="25"/>
      <c r="Y37" s="25"/>
      <c r="Z37" s="25">
        <v>0</v>
      </c>
      <c r="AA37" s="25">
        <v>0</v>
      </c>
      <c r="AB37" s="25"/>
      <c r="AC37" s="25">
        <v>0</v>
      </c>
      <c r="AD37" s="25">
        <v>0</v>
      </c>
      <c r="AE37" s="25">
        <v>0</v>
      </c>
      <c r="AF37" s="25">
        <v>0</v>
      </c>
      <c r="AG37" s="25"/>
      <c r="AH37" s="25">
        <v>0</v>
      </c>
      <c r="AI37" s="25">
        <v>0</v>
      </c>
      <c r="AJ37" s="25"/>
      <c r="AK37" s="25">
        <v>0</v>
      </c>
      <c r="AL37" s="25"/>
      <c r="AM37" s="25">
        <v>0</v>
      </c>
      <c r="AN37" s="25"/>
      <c r="AO37" s="25">
        <v>0</v>
      </c>
      <c r="AP37" s="25">
        <v>0</v>
      </c>
      <c r="AQ37" s="25">
        <v>0</v>
      </c>
      <c r="AR37" s="25"/>
      <c r="AS37" s="25">
        <v>18400</v>
      </c>
      <c r="AT37" s="30">
        <f t="shared" si="1"/>
        <v>18400</v>
      </c>
      <c r="AU37" s="23">
        <f t="shared" si="2"/>
        <v>6.7721077214000659E-3</v>
      </c>
    </row>
    <row r="38" spans="1:48" x14ac:dyDescent="0.2">
      <c r="A38" s="2" t="s">
        <v>61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68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/>
      <c r="O38" s="25"/>
      <c r="P38" s="25"/>
      <c r="Q38" s="25"/>
      <c r="R38" s="25">
        <v>0</v>
      </c>
      <c r="S38" s="25">
        <v>0</v>
      </c>
      <c r="T38" s="25">
        <v>0</v>
      </c>
      <c r="U38" s="25"/>
      <c r="V38" s="25">
        <v>0</v>
      </c>
      <c r="W38" s="25"/>
      <c r="X38" s="25"/>
      <c r="Y38" s="25"/>
      <c r="Z38" s="25">
        <v>0</v>
      </c>
      <c r="AA38" s="25">
        <v>0</v>
      </c>
      <c r="AB38" s="25"/>
      <c r="AC38" s="25">
        <v>0</v>
      </c>
      <c r="AD38" s="25">
        <v>0</v>
      </c>
      <c r="AE38" s="25">
        <v>0</v>
      </c>
      <c r="AF38" s="25">
        <v>0</v>
      </c>
      <c r="AG38" s="25"/>
      <c r="AH38" s="25">
        <v>0</v>
      </c>
      <c r="AI38" s="25">
        <v>0</v>
      </c>
      <c r="AJ38" s="25"/>
      <c r="AK38" s="25">
        <v>0</v>
      </c>
      <c r="AL38" s="25"/>
      <c r="AM38" s="25">
        <v>0</v>
      </c>
      <c r="AN38" s="25"/>
      <c r="AO38" s="25">
        <v>0</v>
      </c>
      <c r="AP38" s="25">
        <v>0</v>
      </c>
      <c r="AQ38" s="25">
        <v>0</v>
      </c>
      <c r="AR38" s="25"/>
      <c r="AS38" s="25">
        <v>0</v>
      </c>
      <c r="AT38" s="30">
        <f t="shared" si="1"/>
        <v>0</v>
      </c>
      <c r="AU38" s="23">
        <f t="shared" si="2"/>
        <v>0</v>
      </c>
    </row>
    <row r="39" spans="1:48" x14ac:dyDescent="0.2">
      <c r="A39" s="76" t="s">
        <v>105</v>
      </c>
      <c r="B39" s="25">
        <v>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68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/>
      <c r="O39" s="25"/>
      <c r="P39" s="25"/>
      <c r="Q39" s="25"/>
      <c r="R39" s="25">
        <v>0</v>
      </c>
      <c r="S39" s="25">
        <v>0</v>
      </c>
      <c r="T39" s="25">
        <v>0</v>
      </c>
      <c r="U39" s="25"/>
      <c r="V39" s="25">
        <v>0</v>
      </c>
      <c r="W39" s="25"/>
      <c r="X39" s="25"/>
      <c r="Y39" s="25"/>
      <c r="Z39" s="25">
        <v>0</v>
      </c>
      <c r="AA39" s="25">
        <v>0</v>
      </c>
      <c r="AB39" s="25"/>
      <c r="AC39" s="25">
        <v>0</v>
      </c>
      <c r="AD39" s="25">
        <v>0</v>
      </c>
      <c r="AE39" s="25">
        <v>0</v>
      </c>
      <c r="AF39" s="25">
        <v>0</v>
      </c>
      <c r="AG39" s="25"/>
      <c r="AH39" s="25">
        <v>0</v>
      </c>
      <c r="AI39" s="25">
        <v>0</v>
      </c>
      <c r="AJ39" s="25"/>
      <c r="AK39" s="25">
        <v>0</v>
      </c>
      <c r="AL39" s="25"/>
      <c r="AM39" s="25">
        <v>0</v>
      </c>
      <c r="AN39" s="25"/>
      <c r="AO39" s="25">
        <v>0</v>
      </c>
      <c r="AP39" s="25">
        <v>0</v>
      </c>
      <c r="AQ39" s="25">
        <v>0</v>
      </c>
      <c r="AR39" s="25"/>
      <c r="AS39" s="25">
        <v>0</v>
      </c>
      <c r="AT39" s="30">
        <f t="shared" si="1"/>
        <v>0</v>
      </c>
      <c r="AU39" s="23">
        <f t="shared" si="2"/>
        <v>0</v>
      </c>
    </row>
    <row r="40" spans="1:48" x14ac:dyDescent="0.2">
      <c r="A40" s="2" t="s">
        <v>62</v>
      </c>
      <c r="B40" s="25">
        <v>0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68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/>
      <c r="O40" s="25"/>
      <c r="P40" s="25"/>
      <c r="Q40" s="25"/>
      <c r="R40" s="25">
        <v>0</v>
      </c>
      <c r="S40" s="25">
        <v>0</v>
      </c>
      <c r="T40" s="25">
        <v>0</v>
      </c>
      <c r="U40" s="25"/>
      <c r="V40" s="25">
        <v>0</v>
      </c>
      <c r="W40" s="25"/>
      <c r="X40" s="25"/>
      <c r="Y40" s="25"/>
      <c r="Z40" s="25">
        <v>0</v>
      </c>
      <c r="AA40" s="25">
        <v>0</v>
      </c>
      <c r="AB40" s="25"/>
      <c r="AC40" s="25">
        <v>0</v>
      </c>
      <c r="AD40" s="25">
        <v>0</v>
      </c>
      <c r="AE40" s="25">
        <v>0</v>
      </c>
      <c r="AF40" s="25">
        <v>0</v>
      </c>
      <c r="AG40" s="25"/>
      <c r="AH40" s="25">
        <v>0</v>
      </c>
      <c r="AI40" s="25">
        <v>0</v>
      </c>
      <c r="AJ40" s="25"/>
      <c r="AK40" s="25">
        <v>0</v>
      </c>
      <c r="AL40" s="25"/>
      <c r="AM40" s="25">
        <v>0</v>
      </c>
      <c r="AN40" s="25"/>
      <c r="AO40" s="25">
        <v>0</v>
      </c>
      <c r="AP40" s="25">
        <v>0</v>
      </c>
      <c r="AQ40" s="25">
        <v>0</v>
      </c>
      <c r="AR40" s="25"/>
      <c r="AS40" s="25">
        <v>565000</v>
      </c>
      <c r="AT40" s="30">
        <f t="shared" si="1"/>
        <v>565000</v>
      </c>
      <c r="AU40" s="23">
        <f t="shared" si="2"/>
        <v>0.2079478729669042</v>
      </c>
      <c r="AV40" s="2" t="s">
        <v>68</v>
      </c>
    </row>
    <row r="41" spans="1:48" x14ac:dyDescent="0.2">
      <c r="A41" s="2" t="s">
        <v>63</v>
      </c>
      <c r="B41" s="25">
        <v>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68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/>
      <c r="O41" s="25"/>
      <c r="P41" s="25"/>
      <c r="Q41" s="25"/>
      <c r="R41" s="25">
        <v>0</v>
      </c>
      <c r="S41" s="25">
        <v>0</v>
      </c>
      <c r="T41" s="25">
        <v>0</v>
      </c>
      <c r="U41" s="25"/>
      <c r="V41" s="25">
        <v>0</v>
      </c>
      <c r="W41" s="25"/>
      <c r="X41" s="25"/>
      <c r="Y41" s="25"/>
      <c r="Z41" s="25">
        <v>0</v>
      </c>
      <c r="AA41" s="25">
        <v>0</v>
      </c>
      <c r="AB41" s="25"/>
      <c r="AC41" s="25">
        <v>0</v>
      </c>
      <c r="AD41" s="25">
        <v>0</v>
      </c>
      <c r="AE41" s="25">
        <v>0</v>
      </c>
      <c r="AF41" s="25">
        <v>0</v>
      </c>
      <c r="AG41" s="25"/>
      <c r="AH41" s="25">
        <v>0</v>
      </c>
      <c r="AI41" s="25">
        <v>0</v>
      </c>
      <c r="AJ41" s="25"/>
      <c r="AK41" s="25">
        <v>0</v>
      </c>
      <c r="AL41" s="25"/>
      <c r="AM41" s="25">
        <v>0</v>
      </c>
      <c r="AN41" s="25"/>
      <c r="AO41" s="25">
        <v>0</v>
      </c>
      <c r="AP41" s="25">
        <v>0</v>
      </c>
      <c r="AQ41" s="25">
        <v>0</v>
      </c>
      <c r="AR41" s="25"/>
      <c r="AS41" s="25">
        <v>715.56</v>
      </c>
      <c r="AT41" s="30">
        <f t="shared" si="1"/>
        <v>715.56</v>
      </c>
      <c r="AU41" s="23">
        <f t="shared" si="2"/>
        <v>2.6336138049592561E-4</v>
      </c>
    </row>
    <row r="42" spans="1:48" x14ac:dyDescent="0.2">
      <c r="A42" s="2" t="s">
        <v>81</v>
      </c>
      <c r="B42" s="25">
        <v>58.620000000000033</v>
      </c>
      <c r="C42" s="25">
        <v>133.15999999999997</v>
      </c>
      <c r="D42" s="25">
        <v>124.57999999999998</v>
      </c>
      <c r="E42" s="25">
        <v>76.090000000000032</v>
      </c>
      <c r="F42" s="25">
        <v>0</v>
      </c>
      <c r="G42" s="25">
        <v>118.67999999999995</v>
      </c>
      <c r="H42" s="68">
        <v>35.729999999999997</v>
      </c>
      <c r="I42" s="25">
        <v>0</v>
      </c>
      <c r="J42" s="25">
        <v>66.729999999999961</v>
      </c>
      <c r="K42" s="25">
        <v>0</v>
      </c>
      <c r="L42" s="25">
        <v>170.06000000000006</v>
      </c>
      <c r="M42" s="25">
        <v>85.839999999999918</v>
      </c>
      <c r="N42" s="25"/>
      <c r="O42" s="25"/>
      <c r="P42" s="25"/>
      <c r="Q42" s="25"/>
      <c r="R42" s="25">
        <v>82.759999999999991</v>
      </c>
      <c r="S42" s="25">
        <v>123.36000000000001</v>
      </c>
      <c r="T42" s="25">
        <v>108.73999999999995</v>
      </c>
      <c r="U42" s="25"/>
      <c r="V42" s="25">
        <v>52.330000000000013</v>
      </c>
      <c r="W42" s="25"/>
      <c r="X42" s="25"/>
      <c r="Y42" s="25"/>
      <c r="Z42" s="25">
        <v>92.499999999999972</v>
      </c>
      <c r="AA42" s="25">
        <v>68.560000000000059</v>
      </c>
      <c r="AB42" s="25"/>
      <c r="AC42" s="25">
        <v>139.18999999999994</v>
      </c>
      <c r="AD42" s="25">
        <v>25.980000000000018</v>
      </c>
      <c r="AE42" s="25">
        <v>0</v>
      </c>
      <c r="AF42" s="25">
        <v>76.090000000000032</v>
      </c>
      <c r="AG42" s="25"/>
      <c r="AH42" s="25">
        <v>154.20000000000005</v>
      </c>
      <c r="AI42" s="25">
        <v>259.33000000000004</v>
      </c>
      <c r="AJ42" s="25"/>
      <c r="AK42" s="25">
        <v>0</v>
      </c>
      <c r="AL42" s="25"/>
      <c r="AM42" s="25">
        <v>0</v>
      </c>
      <c r="AN42" s="25"/>
      <c r="AO42" s="25">
        <v>92.700000000000045</v>
      </c>
      <c r="AP42" s="25">
        <v>24.139999999999986</v>
      </c>
      <c r="AQ42" s="25">
        <v>0</v>
      </c>
      <c r="AR42" s="25"/>
      <c r="AS42" s="25">
        <v>329.37</v>
      </c>
      <c r="AT42" s="30">
        <f t="shared" si="1"/>
        <v>2498.7400000000002</v>
      </c>
      <c r="AU42" s="23">
        <f t="shared" si="2"/>
        <v>9.1965958955278276E-4</v>
      </c>
    </row>
    <row r="43" spans="1:48" x14ac:dyDescent="0.2">
      <c r="A43" s="2" t="s">
        <v>64</v>
      </c>
      <c r="B43" s="25">
        <v>0</v>
      </c>
      <c r="C43" s="25">
        <v>0</v>
      </c>
      <c r="D43" s="25">
        <v>15</v>
      </c>
      <c r="E43" s="25">
        <v>0</v>
      </c>
      <c r="F43" s="25">
        <v>0</v>
      </c>
      <c r="G43" s="25">
        <v>0</v>
      </c>
      <c r="H43" s="68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/>
      <c r="O43" s="25"/>
      <c r="P43" s="25"/>
      <c r="Q43" s="25"/>
      <c r="R43" s="25">
        <v>0</v>
      </c>
      <c r="S43" s="25">
        <v>0</v>
      </c>
      <c r="T43" s="25">
        <v>0</v>
      </c>
      <c r="U43" s="25"/>
      <c r="V43" s="25">
        <v>0</v>
      </c>
      <c r="W43" s="25"/>
      <c r="X43" s="25"/>
      <c r="Y43" s="25"/>
      <c r="Z43" s="25">
        <v>0</v>
      </c>
      <c r="AA43" s="25">
        <v>0</v>
      </c>
      <c r="AB43" s="25"/>
      <c r="AC43" s="25">
        <v>0</v>
      </c>
      <c r="AD43" s="25">
        <v>0</v>
      </c>
      <c r="AE43" s="25">
        <v>0</v>
      </c>
      <c r="AF43" s="25">
        <v>0</v>
      </c>
      <c r="AG43" s="25"/>
      <c r="AH43" s="25">
        <v>0</v>
      </c>
      <c r="AI43" s="25">
        <v>0</v>
      </c>
      <c r="AJ43" s="25"/>
      <c r="AK43" s="25">
        <v>0</v>
      </c>
      <c r="AL43" s="25"/>
      <c r="AM43" s="25">
        <v>0</v>
      </c>
      <c r="AN43" s="25"/>
      <c r="AO43" s="25">
        <v>0</v>
      </c>
      <c r="AP43" s="25">
        <v>0</v>
      </c>
      <c r="AQ43" s="25">
        <v>0</v>
      </c>
      <c r="AR43" s="25"/>
      <c r="AS43" s="25">
        <v>80899.850000000006</v>
      </c>
      <c r="AT43" s="30">
        <f t="shared" si="1"/>
        <v>80914.850000000006</v>
      </c>
      <c r="AU43" s="23">
        <f t="shared" si="2"/>
        <v>2.9780656546789575E-2</v>
      </c>
    </row>
    <row r="44" spans="1:48" x14ac:dyDescent="0.2">
      <c r="A44" s="2" t="s">
        <v>66</v>
      </c>
      <c r="B44" s="25">
        <v>80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/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/>
      <c r="O44" s="25"/>
      <c r="P44" s="25"/>
      <c r="Q44" s="25"/>
      <c r="R44" s="25">
        <v>0</v>
      </c>
      <c r="S44" s="25">
        <v>300</v>
      </c>
      <c r="T44" s="25">
        <v>0</v>
      </c>
      <c r="U44" s="25"/>
      <c r="V44" s="25">
        <v>128</v>
      </c>
      <c r="W44" s="25"/>
      <c r="X44" s="25"/>
      <c r="Y44" s="25"/>
      <c r="Z44" s="25">
        <v>1000</v>
      </c>
      <c r="AA44" s="25">
        <v>100</v>
      </c>
      <c r="AB44" s="25"/>
      <c r="AC44" s="25">
        <v>0</v>
      </c>
      <c r="AD44" s="25">
        <v>0</v>
      </c>
      <c r="AE44" s="25">
        <v>0</v>
      </c>
      <c r="AF44" s="25">
        <v>0</v>
      </c>
      <c r="AG44" s="25"/>
      <c r="AH44" s="25">
        <v>366</v>
      </c>
      <c r="AI44" s="25">
        <v>50</v>
      </c>
      <c r="AJ44" s="25"/>
      <c r="AK44" s="25">
        <v>0</v>
      </c>
      <c r="AL44" s="25"/>
      <c r="AM44" s="25"/>
      <c r="AN44" s="25"/>
      <c r="AO44" s="25">
        <v>0</v>
      </c>
      <c r="AP44" s="25">
        <v>54</v>
      </c>
      <c r="AQ44" s="25">
        <v>0</v>
      </c>
      <c r="AR44" s="25"/>
      <c r="AS44" s="25">
        <v>4509</v>
      </c>
      <c r="AT44" s="30">
        <f t="shared" si="1"/>
        <v>6587</v>
      </c>
      <c r="AU44" s="23">
        <f t="shared" si="2"/>
        <v>2.4243409543946866E-3</v>
      </c>
    </row>
    <row r="45" spans="1:48" ht="12.75" thickBot="1" x14ac:dyDescent="0.25">
      <c r="A45" s="14" t="s">
        <v>67</v>
      </c>
      <c r="B45" s="27">
        <f>SUM(B15:B44)</f>
        <v>164980.10999999993</v>
      </c>
      <c r="C45" s="27">
        <f t="shared" ref="C45:AS45" si="3">SUM(C15:C44)</f>
        <v>16595.22</v>
      </c>
      <c r="D45" s="27">
        <f t="shared" si="3"/>
        <v>35947.250000000015</v>
      </c>
      <c r="E45" s="27">
        <f t="shared" si="3"/>
        <v>59520.4</v>
      </c>
      <c r="F45" s="27">
        <f t="shared" si="3"/>
        <v>125183.11999999998</v>
      </c>
      <c r="G45" s="27">
        <f t="shared" si="3"/>
        <v>35893.099999999984</v>
      </c>
      <c r="H45" s="27">
        <f t="shared" si="3"/>
        <v>23632.45</v>
      </c>
      <c r="I45" s="27">
        <f t="shared" si="3"/>
        <v>244773.1400000001</v>
      </c>
      <c r="J45" s="27">
        <f t="shared" si="3"/>
        <v>83201.060000000027</v>
      </c>
      <c r="K45" s="27">
        <f t="shared" si="3"/>
        <v>11472.55</v>
      </c>
      <c r="L45" s="27">
        <f t="shared" si="3"/>
        <v>57380.98000000001</v>
      </c>
      <c r="M45" s="27">
        <f t="shared" si="3"/>
        <v>36656.610000000008</v>
      </c>
      <c r="N45" s="27">
        <f t="shared" si="3"/>
        <v>0</v>
      </c>
      <c r="O45" s="27">
        <f t="shared" si="3"/>
        <v>0</v>
      </c>
      <c r="P45" s="27">
        <f t="shared" si="3"/>
        <v>0</v>
      </c>
      <c r="Q45" s="27">
        <f t="shared" si="3"/>
        <v>0</v>
      </c>
      <c r="R45" s="27">
        <f t="shared" si="3"/>
        <v>57238.739999999991</v>
      </c>
      <c r="S45" s="27">
        <f t="shared" si="3"/>
        <v>57272.210000000021</v>
      </c>
      <c r="T45" s="27">
        <f t="shared" si="3"/>
        <v>28638.250000000004</v>
      </c>
      <c r="U45" s="27">
        <f t="shared" si="3"/>
        <v>0</v>
      </c>
      <c r="V45" s="27">
        <f t="shared" si="3"/>
        <v>21670.709999999992</v>
      </c>
      <c r="W45" s="27">
        <f t="shared" si="3"/>
        <v>0</v>
      </c>
      <c r="X45" s="27">
        <f t="shared" si="3"/>
        <v>0</v>
      </c>
      <c r="Y45" s="27">
        <f t="shared" si="3"/>
        <v>0</v>
      </c>
      <c r="Z45" s="27">
        <f t="shared" si="3"/>
        <v>12163.34</v>
      </c>
      <c r="AA45" s="27">
        <f t="shared" si="3"/>
        <v>26824.259999999995</v>
      </c>
      <c r="AB45" s="27">
        <f t="shared" si="3"/>
        <v>0</v>
      </c>
      <c r="AC45" s="27">
        <f t="shared" si="3"/>
        <v>45602.299999999996</v>
      </c>
      <c r="AD45" s="27">
        <f t="shared" si="3"/>
        <v>23980.940000000006</v>
      </c>
      <c r="AE45" s="27">
        <f t="shared" si="3"/>
        <v>11750.200000000003</v>
      </c>
      <c r="AF45" s="27">
        <f t="shared" si="3"/>
        <v>53423.540000000008</v>
      </c>
      <c r="AG45" s="27">
        <f t="shared" si="3"/>
        <v>0</v>
      </c>
      <c r="AH45" s="27">
        <f t="shared" si="3"/>
        <v>145759.00000000003</v>
      </c>
      <c r="AI45" s="27">
        <f t="shared" si="3"/>
        <v>38472.509999999995</v>
      </c>
      <c r="AJ45" s="27">
        <f t="shared" si="3"/>
        <v>0</v>
      </c>
      <c r="AK45" s="27">
        <f t="shared" si="3"/>
        <v>37475.400000000009</v>
      </c>
      <c r="AL45" s="27">
        <f>SUM(AL15:AL44)</f>
        <v>0</v>
      </c>
      <c r="AM45" s="27">
        <f>SUM(AM15:AM44)</f>
        <v>20506.7</v>
      </c>
      <c r="AN45" s="27">
        <f t="shared" ref="AN45:AR45" si="4">SUM(AN15:AN44)</f>
        <v>0</v>
      </c>
      <c r="AO45" s="27">
        <f t="shared" si="4"/>
        <v>11951.960000000003</v>
      </c>
      <c r="AP45" s="27">
        <f t="shared" si="4"/>
        <v>109880.66999999998</v>
      </c>
      <c r="AQ45" s="27">
        <f t="shared" si="4"/>
        <v>12057.74</v>
      </c>
      <c r="AR45" s="27">
        <f t="shared" si="4"/>
        <v>0</v>
      </c>
      <c r="AS45" s="27">
        <f t="shared" si="3"/>
        <v>1107122.6100000001</v>
      </c>
      <c r="AT45" s="27">
        <f>SUM(AT15:AT44)</f>
        <v>2717027.0700000003</v>
      </c>
      <c r="AU45" s="10">
        <f>SUM(AU15:AU44)</f>
        <v>0.99999999999999978</v>
      </c>
      <c r="AV45" s="53"/>
    </row>
    <row r="46" spans="1:48" ht="12.75" thickTop="1" x14ac:dyDescent="0.2">
      <c r="D46" s="2" t="s">
        <v>68</v>
      </c>
      <c r="E46" s="2" t="s">
        <v>68</v>
      </c>
      <c r="F46" s="2" t="s">
        <v>68</v>
      </c>
      <c r="G46" s="2" t="s">
        <v>68</v>
      </c>
      <c r="H46" s="2" t="s">
        <v>68</v>
      </c>
      <c r="I46" s="2" t="s">
        <v>68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68</v>
      </c>
      <c r="Q46" s="2" t="s">
        <v>68</v>
      </c>
      <c r="R46" s="2" t="s">
        <v>68</v>
      </c>
      <c r="S46" s="2" t="s">
        <v>68</v>
      </c>
      <c r="AT46" s="29" t="s">
        <v>68</v>
      </c>
      <c r="AU46" s="67"/>
    </row>
    <row r="47" spans="1:48" ht="12.75" thickBot="1" x14ac:dyDescent="0.25">
      <c r="A47" s="14" t="s">
        <v>69</v>
      </c>
      <c r="B47" s="14">
        <f>+B13-B45</f>
        <v>148019.89000000007</v>
      </c>
      <c r="C47" s="14">
        <f t="shared" ref="C47:Z47" si="5">+C13-C45</f>
        <v>88904.78</v>
      </c>
      <c r="D47" s="14">
        <f t="shared" si="5"/>
        <v>20802.749999999985</v>
      </c>
      <c r="E47" s="14">
        <f t="shared" si="5"/>
        <v>29129.599999999999</v>
      </c>
      <c r="F47" s="14">
        <f t="shared" si="5"/>
        <v>147716.88</v>
      </c>
      <c r="G47" s="14">
        <f>+G13-G45</f>
        <v>15050.400000000016</v>
      </c>
      <c r="H47" s="14">
        <f t="shared" si="5"/>
        <v>14367.55</v>
      </c>
      <c r="I47" s="14">
        <f t="shared" si="5"/>
        <v>220126.8599999999</v>
      </c>
      <c r="J47" s="14">
        <f t="shared" si="5"/>
        <v>106526.75000000003</v>
      </c>
      <c r="K47" s="14">
        <f t="shared" si="5"/>
        <v>7527.4500000000007</v>
      </c>
      <c r="L47" s="14">
        <f t="shared" si="5"/>
        <v>30919.019999999931</v>
      </c>
      <c r="M47" s="14">
        <f t="shared" si="5"/>
        <v>38543.389999999992</v>
      </c>
      <c r="N47" s="14">
        <f t="shared" si="5"/>
        <v>0</v>
      </c>
      <c r="O47" s="14">
        <f t="shared" si="5"/>
        <v>0</v>
      </c>
      <c r="P47" s="14">
        <f t="shared" si="5"/>
        <v>0</v>
      </c>
      <c r="Q47" s="14">
        <f t="shared" si="5"/>
        <v>0</v>
      </c>
      <c r="R47" s="14">
        <f t="shared" si="5"/>
        <v>40511.260000000009</v>
      </c>
      <c r="S47" s="14">
        <f t="shared" si="5"/>
        <v>40977.789999999979</v>
      </c>
      <c r="T47" s="14">
        <f t="shared" si="5"/>
        <v>27111.749999999996</v>
      </c>
      <c r="U47" s="14">
        <f t="shared" si="5"/>
        <v>0</v>
      </c>
      <c r="V47" s="14">
        <f t="shared" si="5"/>
        <v>32329.290000000008</v>
      </c>
      <c r="W47" s="14">
        <f t="shared" si="5"/>
        <v>0</v>
      </c>
      <c r="X47" s="14">
        <f t="shared" si="5"/>
        <v>0</v>
      </c>
      <c r="Y47" s="14">
        <f>+Y13-Y45</f>
        <v>0</v>
      </c>
      <c r="Z47" s="14">
        <f t="shared" si="5"/>
        <v>23836.66</v>
      </c>
      <c r="AA47" s="14">
        <f>+AA13-AA45</f>
        <v>11175.740000000005</v>
      </c>
      <c r="AB47" s="14">
        <f>+AB13-AB45</f>
        <v>0</v>
      </c>
      <c r="AC47" s="14">
        <f>+AC13-AC45</f>
        <v>40897.700000000004</v>
      </c>
      <c r="AD47" s="14">
        <f>+AD13-AD45</f>
        <v>14019.059999999994</v>
      </c>
      <c r="AE47" s="14">
        <f t="shared" ref="AE47:AJ47" si="6">+AE13-AE45</f>
        <v>7749.7999999999975</v>
      </c>
      <c r="AF47" s="14">
        <f t="shared" si="6"/>
        <v>31076.459999999992</v>
      </c>
      <c r="AG47" s="14">
        <f t="shared" si="6"/>
        <v>0</v>
      </c>
      <c r="AH47" s="14">
        <f t="shared" si="6"/>
        <v>106740.99999999997</v>
      </c>
      <c r="AI47" s="14">
        <f t="shared" si="6"/>
        <v>17277.490000000005</v>
      </c>
      <c r="AJ47" s="14">
        <f t="shared" si="6"/>
        <v>0</v>
      </c>
      <c r="AK47" s="14">
        <f>+AK13-AK45</f>
        <v>19724.599999999991</v>
      </c>
      <c r="AL47" s="14">
        <f>+AL13-AL45</f>
        <v>0</v>
      </c>
      <c r="AM47" s="14">
        <f>+AM13-AM45</f>
        <v>20493.3</v>
      </c>
      <c r="AN47" s="14">
        <f t="shared" ref="AN47:AR47" si="7">+AN13-AN45</f>
        <v>0</v>
      </c>
      <c r="AO47" s="14">
        <f t="shared" si="7"/>
        <v>6548.0399999999972</v>
      </c>
      <c r="AP47" s="14">
        <f t="shared" si="7"/>
        <v>122119.33000000002</v>
      </c>
      <c r="AQ47" s="14">
        <f t="shared" si="7"/>
        <v>6642.26</v>
      </c>
      <c r="AR47" s="14">
        <f t="shared" si="7"/>
        <v>0</v>
      </c>
      <c r="AS47" s="14">
        <f t="shared" ref="AS47" si="8">+AS13-AS45</f>
        <v>-1107122.6100000001</v>
      </c>
      <c r="AT47" s="14">
        <f>SUM(B47:AS47)</f>
        <v>329744.24000000022</v>
      </c>
      <c r="AU47" s="67"/>
    </row>
    <row r="48" spans="1:48" ht="12.75" thickTop="1" x14ac:dyDescent="0.2">
      <c r="AU48" s="67"/>
    </row>
    <row r="49" spans="1:47" x14ac:dyDescent="0.2">
      <c r="A49" s="2" t="s">
        <v>70</v>
      </c>
      <c r="B49" s="2">
        <f>13500+39100</f>
        <v>52600</v>
      </c>
      <c r="C49" s="2">
        <f>12900+16100</f>
        <v>29000</v>
      </c>
      <c r="D49" s="2">
        <v>5150</v>
      </c>
      <c r="E49" s="2">
        <v>1750</v>
      </c>
      <c r="F49" s="2">
        <f>11700+42680</f>
        <v>54380</v>
      </c>
      <c r="G49" s="2">
        <f>300+3550</f>
        <v>3850</v>
      </c>
      <c r="H49" s="2">
        <v>2240</v>
      </c>
      <c r="I49" s="2">
        <f>6600+61946.66</f>
        <v>68546.66</v>
      </c>
      <c r="J49" s="2">
        <f>19500+24878.51</f>
        <v>44378.509999999995</v>
      </c>
      <c r="L49" s="2">
        <f>600+8000</f>
        <v>8600</v>
      </c>
      <c r="M49" s="2">
        <v>1050</v>
      </c>
      <c r="R49" s="2">
        <f>600+5956.66</f>
        <v>6556.66</v>
      </c>
      <c r="S49" s="2">
        <f>300+8900</f>
        <v>9200</v>
      </c>
      <c r="T49" s="2">
        <f>300+11450</f>
        <v>11750</v>
      </c>
      <c r="V49" s="2">
        <f>1800+15500</f>
        <v>17300</v>
      </c>
      <c r="Z49" s="2">
        <f>1200+5950</f>
        <v>7150</v>
      </c>
      <c r="AA49" s="2">
        <v>1400</v>
      </c>
      <c r="AC49" s="2">
        <f>900+7700</f>
        <v>8600</v>
      </c>
      <c r="AD49" s="2">
        <v>2200</v>
      </c>
      <c r="AF49" s="2">
        <f>6600+13658.33</f>
        <v>20258.330000000002</v>
      </c>
      <c r="AH49" s="2">
        <f>7200+26150</f>
        <v>33350</v>
      </c>
      <c r="AI49" s="2">
        <f>600+5370</f>
        <v>5970</v>
      </c>
      <c r="AK49" s="2">
        <v>2850</v>
      </c>
      <c r="AM49" s="2">
        <f>300+3276.66</f>
        <v>3576.66</v>
      </c>
      <c r="AO49" s="2">
        <v>850</v>
      </c>
      <c r="AP49" s="2">
        <f>23400+29009.98</f>
        <v>52409.979999999996</v>
      </c>
      <c r="AQ49" s="2">
        <f>600+1300</f>
        <v>1900</v>
      </c>
      <c r="AS49" s="2">
        <v>12575</v>
      </c>
      <c r="AT49" s="29">
        <f>SUM(B49:AS49)</f>
        <v>469441.79999999993</v>
      </c>
      <c r="AU49" s="2"/>
    </row>
    <row r="50" spans="1:47" s="25" customFormat="1" x14ac:dyDescent="0.2">
      <c r="A50" s="37" t="s">
        <v>71</v>
      </c>
      <c r="B50" s="37">
        <f>+B47-B49</f>
        <v>95419.890000000072</v>
      </c>
      <c r="C50" s="37">
        <f t="shared" ref="C50:AS50" si="9">+C47-C49</f>
        <v>59904.78</v>
      </c>
      <c r="D50" s="37">
        <f t="shared" si="9"/>
        <v>15652.749999999985</v>
      </c>
      <c r="E50" s="37">
        <f t="shared" si="9"/>
        <v>27379.599999999999</v>
      </c>
      <c r="F50" s="37">
        <f t="shared" si="9"/>
        <v>93336.88</v>
      </c>
      <c r="G50" s="37">
        <f t="shared" si="9"/>
        <v>11200.400000000016</v>
      </c>
      <c r="H50" s="37">
        <f t="shared" si="9"/>
        <v>12127.55</v>
      </c>
      <c r="I50" s="37">
        <f t="shared" si="9"/>
        <v>151580.1999999999</v>
      </c>
      <c r="J50" s="37">
        <f t="shared" si="9"/>
        <v>62148.240000000034</v>
      </c>
      <c r="K50" s="37">
        <f t="shared" si="9"/>
        <v>7527.4500000000007</v>
      </c>
      <c r="L50" s="37">
        <f t="shared" si="9"/>
        <v>22319.019999999931</v>
      </c>
      <c r="M50" s="37">
        <f t="shared" si="9"/>
        <v>37493.389999999992</v>
      </c>
      <c r="N50" s="37">
        <f t="shared" si="9"/>
        <v>0</v>
      </c>
      <c r="O50" s="37">
        <f t="shared" si="9"/>
        <v>0</v>
      </c>
      <c r="P50" s="37">
        <f t="shared" si="9"/>
        <v>0</v>
      </c>
      <c r="Q50" s="37">
        <f t="shared" si="9"/>
        <v>0</v>
      </c>
      <c r="R50" s="37">
        <f t="shared" si="9"/>
        <v>33954.600000000006</v>
      </c>
      <c r="S50" s="37">
        <f t="shared" si="9"/>
        <v>31777.789999999979</v>
      </c>
      <c r="T50" s="37">
        <f t="shared" si="9"/>
        <v>15361.749999999996</v>
      </c>
      <c r="U50" s="37">
        <f t="shared" si="9"/>
        <v>0</v>
      </c>
      <c r="V50" s="37">
        <f t="shared" si="9"/>
        <v>15029.290000000008</v>
      </c>
      <c r="W50" s="37">
        <f t="shared" si="9"/>
        <v>0</v>
      </c>
      <c r="X50" s="37">
        <f t="shared" si="9"/>
        <v>0</v>
      </c>
      <c r="Y50" s="37">
        <f t="shared" si="9"/>
        <v>0</v>
      </c>
      <c r="Z50" s="37">
        <f t="shared" si="9"/>
        <v>16686.66</v>
      </c>
      <c r="AA50" s="37">
        <f t="shared" si="9"/>
        <v>9775.7400000000052</v>
      </c>
      <c r="AB50" s="37">
        <f t="shared" si="9"/>
        <v>0</v>
      </c>
      <c r="AC50" s="37">
        <f t="shared" si="9"/>
        <v>32297.700000000004</v>
      </c>
      <c r="AD50" s="37">
        <f t="shared" si="9"/>
        <v>11819.059999999994</v>
      </c>
      <c r="AE50" s="37">
        <f t="shared" si="9"/>
        <v>7749.7999999999975</v>
      </c>
      <c r="AF50" s="37">
        <f t="shared" si="9"/>
        <v>10818.12999999999</v>
      </c>
      <c r="AG50" s="37">
        <f t="shared" si="9"/>
        <v>0</v>
      </c>
      <c r="AH50" s="37">
        <f t="shared" si="9"/>
        <v>73390.999999999971</v>
      </c>
      <c r="AI50" s="37">
        <f t="shared" si="9"/>
        <v>11307.490000000005</v>
      </c>
      <c r="AJ50" s="37">
        <f t="shared" si="9"/>
        <v>0</v>
      </c>
      <c r="AK50" s="37">
        <f t="shared" si="9"/>
        <v>16874.599999999991</v>
      </c>
      <c r="AL50" s="37">
        <f t="shared" si="9"/>
        <v>0</v>
      </c>
      <c r="AM50" s="37">
        <f t="shared" si="9"/>
        <v>16916.64</v>
      </c>
      <c r="AN50" s="37">
        <f t="shared" si="9"/>
        <v>0</v>
      </c>
      <c r="AO50" s="37">
        <f t="shared" si="9"/>
        <v>5698.0399999999972</v>
      </c>
      <c r="AP50" s="37">
        <f t="shared" si="9"/>
        <v>69709.35000000002</v>
      </c>
      <c r="AQ50" s="37">
        <f t="shared" si="9"/>
        <v>4742.26</v>
      </c>
      <c r="AR50" s="37">
        <f t="shared" si="9"/>
        <v>0</v>
      </c>
      <c r="AS50" s="37">
        <f t="shared" si="9"/>
        <v>-1119697.6100000001</v>
      </c>
      <c r="AT50" s="38">
        <f>SUM(B50:AS50)-AT53-AT54-AT55+AT56</f>
        <v>243305.6100999997</v>
      </c>
      <c r="AU50" s="40"/>
    </row>
    <row r="51" spans="1:47" x14ac:dyDescent="0.2">
      <c r="AT51" s="18">
        <v>243305.06</v>
      </c>
      <c r="AU51" s="28" t="s">
        <v>72</v>
      </c>
    </row>
    <row r="52" spans="1:47" x14ac:dyDescent="0.2">
      <c r="AT52" s="47">
        <f>+AT50-AT51</f>
        <v>0.55009999970206991</v>
      </c>
      <c r="AU52" s="48" t="s">
        <v>82</v>
      </c>
    </row>
    <row r="53" spans="1:47" x14ac:dyDescent="0.2">
      <c r="A53" s="45" t="s">
        <v>78</v>
      </c>
      <c r="B53" s="45"/>
      <c r="C53" s="45"/>
      <c r="D53" s="45"/>
      <c r="E53" s="45">
        <f>+E50*8.5%</f>
        <v>2327.2660000000001</v>
      </c>
      <c r="F53" s="45"/>
      <c r="G53" s="45">
        <f>+G50*8.5%</f>
        <v>952.03400000000147</v>
      </c>
      <c r="H53" s="45">
        <f>+H50*8.5%</f>
        <v>1030.84175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>
        <f>+V50*8.5%</f>
        <v>1277.4896500000009</v>
      </c>
      <c r="W53" s="45">
        <f>+W50*8.5%</f>
        <v>0</v>
      </c>
      <c r="X53" s="45"/>
      <c r="Y53" s="45">
        <f>+Y50*8.5%</f>
        <v>0</v>
      </c>
      <c r="Z53" s="45">
        <f>+Z50*8.5%</f>
        <v>1418.3661000000002</v>
      </c>
      <c r="AA53" s="45">
        <f>+AA50*8.5%</f>
        <v>830.93790000000047</v>
      </c>
      <c r="AB53" s="45"/>
      <c r="AC53" s="45">
        <f>(AC50-AC54)*8.5%</f>
        <v>2532.8045000000006</v>
      </c>
      <c r="AD53" s="45"/>
      <c r="AE53" s="45"/>
      <c r="AF53" s="45"/>
      <c r="AG53" s="45">
        <f>+AG50*8.5%</f>
        <v>0</v>
      </c>
      <c r="AH53" s="45"/>
      <c r="AI53" s="45"/>
      <c r="AJ53" s="45">
        <f>+AJ50*8.5%</f>
        <v>0</v>
      </c>
      <c r="AK53" s="45"/>
      <c r="AL53" s="45">
        <f>+AL50*8.5%</f>
        <v>0</v>
      </c>
      <c r="AM53" s="45"/>
      <c r="AN53" s="45">
        <f>+AN50*8.5%</f>
        <v>0</v>
      </c>
      <c r="AO53" s="45"/>
      <c r="AP53" s="45"/>
      <c r="AQ53" s="45"/>
      <c r="AR53" s="45"/>
      <c r="AS53" s="45"/>
      <c r="AT53" s="46">
        <f>SUM(B53:AS53)</f>
        <v>10369.739900000004</v>
      </c>
    </row>
    <row r="54" spans="1:47" x14ac:dyDescent="0.2">
      <c r="A54" s="45" t="s">
        <v>84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>
        <v>2500</v>
      </c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>
        <v>18027.09</v>
      </c>
      <c r="AT54" s="46">
        <f t="shared" ref="AT54:AT56" si="10">SUM(B54:AS54)</f>
        <v>20527.09</v>
      </c>
    </row>
    <row r="55" spans="1:47" s="1" customFormat="1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50">
        <f>160000+25000</f>
        <v>185000</v>
      </c>
      <c r="AT55" s="46">
        <f t="shared" si="10"/>
        <v>185000</v>
      </c>
    </row>
    <row r="56" spans="1:47" s="1" customFormat="1" x14ac:dyDescent="0.2">
      <c r="A56" s="49" t="s">
        <v>86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>
        <v>598900</v>
      </c>
      <c r="AT56" s="46">
        <f t="shared" si="10"/>
        <v>598900</v>
      </c>
    </row>
    <row r="58" spans="1:47" s="1" customFormat="1" ht="12.75" x14ac:dyDescent="0.2">
      <c r="A58" s="57" t="s">
        <v>92</v>
      </c>
      <c r="B58" s="57">
        <v>15</v>
      </c>
      <c r="C58" s="57">
        <v>6</v>
      </c>
      <c r="D58" s="57">
        <v>3</v>
      </c>
      <c r="E58" s="57">
        <v>5</v>
      </c>
      <c r="F58" s="57">
        <v>14</v>
      </c>
      <c r="G58" s="57">
        <v>3</v>
      </c>
      <c r="H58" s="57">
        <v>2</v>
      </c>
      <c r="I58" s="57">
        <v>24</v>
      </c>
      <c r="J58" s="57">
        <v>11</v>
      </c>
      <c r="K58" s="57">
        <v>2</v>
      </c>
      <c r="L58" s="57">
        <v>5</v>
      </c>
      <c r="M58" s="57">
        <v>3</v>
      </c>
      <c r="N58" s="57"/>
      <c r="O58" s="57"/>
      <c r="P58" s="57"/>
      <c r="Q58" s="57"/>
      <c r="R58" s="57">
        <v>5</v>
      </c>
      <c r="S58" s="57">
        <v>4</v>
      </c>
      <c r="T58" s="57">
        <v>3</v>
      </c>
      <c r="U58" s="57"/>
      <c r="V58" s="57">
        <v>3</v>
      </c>
      <c r="W58" s="57"/>
      <c r="X58" s="57"/>
      <c r="Y58" s="57"/>
      <c r="Z58" s="57">
        <v>2</v>
      </c>
      <c r="AA58" s="57">
        <v>2</v>
      </c>
      <c r="AB58" s="57"/>
      <c r="AC58" s="57">
        <v>6</v>
      </c>
      <c r="AD58" s="57">
        <v>2</v>
      </c>
      <c r="AE58" s="57">
        <v>1</v>
      </c>
      <c r="AF58" s="57">
        <v>5</v>
      </c>
      <c r="AG58" s="57"/>
      <c r="AH58" s="57">
        <v>13</v>
      </c>
      <c r="AI58" s="57">
        <v>3</v>
      </c>
      <c r="AJ58" s="57"/>
      <c r="AK58" s="57">
        <v>3</v>
      </c>
      <c r="AL58" s="57"/>
      <c r="AM58" s="57">
        <v>3</v>
      </c>
      <c r="AN58" s="57"/>
      <c r="AO58" s="57">
        <v>1</v>
      </c>
      <c r="AP58" s="57">
        <v>12</v>
      </c>
      <c r="AQ58" s="57">
        <v>1</v>
      </c>
      <c r="AR58" s="65">
        <f>SUM(A58:AQ58)</f>
        <v>162</v>
      </c>
      <c r="AS58" s="66" t="s">
        <v>103</v>
      </c>
      <c r="AT58" s="3"/>
    </row>
    <row r="59" spans="1:47" s="1" customFormat="1" x14ac:dyDescent="0.2">
      <c r="A59" s="57" t="s">
        <v>91</v>
      </c>
      <c r="B59" s="58">
        <f>+B50/B58</f>
        <v>6361.3260000000046</v>
      </c>
      <c r="C59" s="58">
        <f t="shared" ref="C59:AQ59" si="11">+C50/C58</f>
        <v>9984.1299999999992</v>
      </c>
      <c r="D59" s="58">
        <f t="shared" si="11"/>
        <v>5217.5833333333285</v>
      </c>
      <c r="E59" s="58">
        <f t="shared" si="11"/>
        <v>5475.92</v>
      </c>
      <c r="F59" s="58">
        <f t="shared" si="11"/>
        <v>6666.92</v>
      </c>
      <c r="G59" s="58">
        <f t="shared" si="11"/>
        <v>3733.4666666666722</v>
      </c>
      <c r="H59" s="58">
        <f t="shared" si="11"/>
        <v>6063.7749999999996</v>
      </c>
      <c r="I59" s="58">
        <f t="shared" si="11"/>
        <v>6315.8416666666626</v>
      </c>
      <c r="J59" s="58">
        <f t="shared" si="11"/>
        <v>5649.8400000000029</v>
      </c>
      <c r="K59" s="58">
        <f t="shared" si="11"/>
        <v>3763.7250000000004</v>
      </c>
      <c r="L59" s="58">
        <f t="shared" si="11"/>
        <v>4463.8039999999864</v>
      </c>
      <c r="M59" s="58">
        <f>(M50-M9)/M58</f>
        <v>5297.7966666666644</v>
      </c>
      <c r="N59" s="58" t="e">
        <f t="shared" si="11"/>
        <v>#DIV/0!</v>
      </c>
      <c r="O59" s="58"/>
      <c r="P59" s="58" t="e">
        <f t="shared" si="11"/>
        <v>#DIV/0!</v>
      </c>
      <c r="Q59" s="58" t="e">
        <f t="shared" si="11"/>
        <v>#DIV/0!</v>
      </c>
      <c r="R59" s="58">
        <f t="shared" si="11"/>
        <v>6790.920000000001</v>
      </c>
      <c r="S59" s="58">
        <f t="shared" si="11"/>
        <v>7944.4474999999948</v>
      </c>
      <c r="T59" s="58">
        <f t="shared" si="11"/>
        <v>5120.5833333333321</v>
      </c>
      <c r="U59" s="58" t="e">
        <f t="shared" si="11"/>
        <v>#DIV/0!</v>
      </c>
      <c r="V59" s="58">
        <f t="shared" si="11"/>
        <v>5009.763333333336</v>
      </c>
      <c r="W59" s="58" t="e">
        <f t="shared" si="11"/>
        <v>#DIV/0!</v>
      </c>
      <c r="X59" s="58" t="e">
        <f t="shared" si="11"/>
        <v>#DIV/0!</v>
      </c>
      <c r="Y59" s="58" t="e">
        <f t="shared" si="11"/>
        <v>#DIV/0!</v>
      </c>
      <c r="Z59" s="58">
        <f t="shared" si="11"/>
        <v>8343.33</v>
      </c>
      <c r="AA59" s="58">
        <f t="shared" si="11"/>
        <v>4887.8700000000026</v>
      </c>
      <c r="AB59" s="58" t="e">
        <f t="shared" si="11"/>
        <v>#DIV/0!</v>
      </c>
      <c r="AC59" s="58">
        <f t="shared" si="11"/>
        <v>5382.9500000000007</v>
      </c>
      <c r="AD59" s="58">
        <f t="shared" si="11"/>
        <v>5909.529999999997</v>
      </c>
      <c r="AE59" s="58">
        <f t="shared" si="11"/>
        <v>7749.7999999999975</v>
      </c>
      <c r="AF59" s="58">
        <f t="shared" si="11"/>
        <v>2163.6259999999979</v>
      </c>
      <c r="AG59" s="58" t="e">
        <f t="shared" si="11"/>
        <v>#DIV/0!</v>
      </c>
      <c r="AH59" s="58">
        <f t="shared" si="11"/>
        <v>5645.4615384615363</v>
      </c>
      <c r="AI59" s="58">
        <f t="shared" si="11"/>
        <v>3769.1633333333352</v>
      </c>
      <c r="AJ59" s="58" t="e">
        <f t="shared" si="11"/>
        <v>#DIV/0!</v>
      </c>
      <c r="AK59" s="58">
        <f t="shared" si="11"/>
        <v>5624.8666666666641</v>
      </c>
      <c r="AL59" s="58" t="e">
        <f t="shared" si="11"/>
        <v>#DIV/0!</v>
      </c>
      <c r="AM59" s="58">
        <f t="shared" si="11"/>
        <v>5638.88</v>
      </c>
      <c r="AN59" s="58" t="e">
        <f t="shared" si="11"/>
        <v>#DIV/0!</v>
      </c>
      <c r="AO59" s="58">
        <f t="shared" si="11"/>
        <v>5698.0399999999972</v>
      </c>
      <c r="AP59" s="58">
        <f t="shared" si="11"/>
        <v>5809.112500000002</v>
      </c>
      <c r="AQ59" s="58">
        <f t="shared" si="11"/>
        <v>4742.26</v>
      </c>
      <c r="AR59" s="2"/>
      <c r="AS59" s="2"/>
    </row>
    <row r="60" spans="1:47" s="1" customFormat="1" x14ac:dyDescent="0.2">
      <c r="N60" s="3"/>
      <c r="O60" s="3"/>
      <c r="P60" s="3"/>
      <c r="Q60" s="3"/>
      <c r="R60" s="3"/>
      <c r="S60" s="3"/>
      <c r="T60" s="3"/>
      <c r="U60" s="3"/>
    </row>
    <row r="61" spans="1:47" s="1" customFormat="1" x14ac:dyDescent="0.2">
      <c r="N61" s="3"/>
      <c r="O61" s="3"/>
      <c r="P61" s="3"/>
      <c r="Q61" s="3"/>
      <c r="R61" s="3"/>
      <c r="S61" s="3"/>
      <c r="T61" s="3"/>
      <c r="U61" s="3"/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9D17-1B26-4DB5-A0C5-09CCC21EFA04}">
  <sheetPr>
    <tabColor rgb="FF7030A0"/>
  </sheetPr>
  <dimension ref="A5:AV61"/>
  <sheetViews>
    <sheetView zoomScaleNormal="100" workbookViewId="0">
      <pane xSplit="1" ySplit="7" topLeftCell="AE44" activePane="bottomRight" state="frozen"/>
      <selection activeCell="D53" sqref="D53"/>
      <selection pane="topRight" activeCell="D53" sqref="D53"/>
      <selection pane="bottomLeft" activeCell="D53" sqref="D53"/>
      <selection pane="bottomRight" activeCell="AN6" sqref="AN6"/>
    </sheetView>
  </sheetViews>
  <sheetFormatPr baseColWidth="10" defaultColWidth="11.42578125" defaultRowHeight="12" x14ac:dyDescent="0.2"/>
  <cols>
    <col min="1" max="7" width="11.42578125" style="2"/>
    <col min="8" max="8" width="11.42578125" style="2" customWidth="1"/>
    <col min="9" max="13" width="11.42578125" style="2"/>
    <col min="14" max="17" width="11.42578125" style="2" hidden="1" customWidth="1"/>
    <col min="18" max="20" width="11.42578125" style="2"/>
    <col min="21" max="21" width="11.42578125" style="2" hidden="1" customWidth="1"/>
    <col min="22" max="22" width="11.42578125" style="2"/>
    <col min="23" max="25" width="11.42578125" style="2" hidden="1" customWidth="1"/>
    <col min="26" max="27" width="11.42578125" style="2"/>
    <col min="28" max="28" width="11.42578125" style="2" hidden="1" customWidth="1"/>
    <col min="29" max="32" width="11.42578125" style="2"/>
    <col min="33" max="33" width="11.42578125" style="2" hidden="1" customWidth="1"/>
    <col min="34" max="35" width="11.42578125" style="2"/>
    <col min="36" max="36" width="11.42578125" style="2" hidden="1" customWidth="1"/>
    <col min="37" max="37" width="11.42578125" style="2"/>
    <col min="38" max="38" width="13.85546875" style="2" hidden="1" customWidth="1"/>
    <col min="39" max="43" width="13.85546875" style="2" customWidth="1"/>
    <col min="44" max="45" width="11.42578125" style="2"/>
    <col min="46" max="46" width="11.42578125" style="29"/>
    <col min="47" max="47" width="11.42578125" style="23"/>
    <col min="48" max="16384" width="11.42578125" style="2"/>
  </cols>
  <sheetData>
    <row r="5" spans="1:48" s="42" customFormat="1" x14ac:dyDescent="0.2">
      <c r="H5" s="26"/>
      <c r="AT5" s="43"/>
      <c r="AU5" s="44"/>
    </row>
    <row r="6" spans="1:48" ht="36" x14ac:dyDescent="0.2">
      <c r="A6" s="35" t="s">
        <v>1</v>
      </c>
      <c r="B6" s="35" t="s">
        <v>2</v>
      </c>
      <c r="C6" s="35" t="s">
        <v>3</v>
      </c>
      <c r="D6" s="35" t="s">
        <v>97</v>
      </c>
      <c r="E6" s="35" t="s">
        <v>4</v>
      </c>
      <c r="F6" s="35" t="s">
        <v>5</v>
      </c>
      <c r="G6" s="35" t="s">
        <v>6</v>
      </c>
      <c r="H6" s="36" t="s">
        <v>104</v>
      </c>
      <c r="I6" s="35" t="s">
        <v>74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14</v>
      </c>
      <c r="R6" s="35" t="s">
        <v>15</v>
      </c>
      <c r="S6" s="35" t="s">
        <v>16</v>
      </c>
      <c r="T6" s="35" t="s">
        <v>17</v>
      </c>
      <c r="U6" s="35" t="s">
        <v>18</v>
      </c>
      <c r="V6" s="36" t="s">
        <v>19</v>
      </c>
      <c r="W6" s="35"/>
      <c r="X6" s="36"/>
      <c r="Y6" s="36"/>
      <c r="Z6" s="36" t="s">
        <v>23</v>
      </c>
      <c r="AA6" s="36" t="s">
        <v>24</v>
      </c>
      <c r="AB6" s="36" t="s">
        <v>25</v>
      </c>
      <c r="AC6" s="35" t="s">
        <v>26</v>
      </c>
      <c r="AD6" s="36" t="s">
        <v>27</v>
      </c>
      <c r="AE6" s="36" t="s">
        <v>28</v>
      </c>
      <c r="AF6" s="36" t="s">
        <v>29</v>
      </c>
      <c r="AG6" s="54"/>
      <c r="AH6" s="35" t="s">
        <v>30</v>
      </c>
      <c r="AI6" s="36" t="s">
        <v>31</v>
      </c>
      <c r="AJ6" s="36" t="s">
        <v>32</v>
      </c>
      <c r="AK6" s="41" t="s">
        <v>75</v>
      </c>
      <c r="AL6" s="35"/>
      <c r="AM6" s="36" t="s">
        <v>83</v>
      </c>
      <c r="AN6" s="73" t="s">
        <v>107</v>
      </c>
      <c r="AO6" s="73" t="s">
        <v>99</v>
      </c>
      <c r="AP6" s="73" t="s">
        <v>100</v>
      </c>
      <c r="AQ6" s="35" t="s">
        <v>95</v>
      </c>
      <c r="AR6" s="36" t="s">
        <v>77</v>
      </c>
      <c r="AS6" s="36" t="s">
        <v>88</v>
      </c>
      <c r="AT6" s="35" t="s">
        <v>33</v>
      </c>
      <c r="AU6" s="22" t="s">
        <v>34</v>
      </c>
    </row>
    <row r="8" spans="1:48" x14ac:dyDescent="0.2">
      <c r="A8" s="2" t="s">
        <v>36</v>
      </c>
      <c r="B8" s="55">
        <v>313000</v>
      </c>
      <c r="C8" s="55">
        <v>105500</v>
      </c>
      <c r="D8" s="26">
        <v>56750</v>
      </c>
      <c r="E8" s="55">
        <v>88650</v>
      </c>
      <c r="F8" s="55">
        <v>272900</v>
      </c>
      <c r="G8" s="55">
        <v>58750</v>
      </c>
      <c r="H8" s="26"/>
      <c r="I8" s="55">
        <v>464900</v>
      </c>
      <c r="J8" s="55">
        <v>187737.1399999999</v>
      </c>
      <c r="K8" s="55">
        <v>19000</v>
      </c>
      <c r="L8" s="55">
        <v>88300</v>
      </c>
      <c r="M8" s="6">
        <v>53600</v>
      </c>
      <c r="N8" s="55"/>
      <c r="O8" s="55"/>
      <c r="P8" s="55"/>
      <c r="Q8" s="55"/>
      <c r="R8" s="55">
        <v>97750</v>
      </c>
      <c r="S8" s="55">
        <v>98250</v>
      </c>
      <c r="T8" s="55">
        <v>55750</v>
      </c>
      <c r="U8" s="55"/>
      <c r="V8" s="55">
        <v>54000</v>
      </c>
      <c r="W8" s="55"/>
      <c r="X8" s="55"/>
      <c r="Y8" s="55"/>
      <c r="Z8" s="55">
        <v>36000</v>
      </c>
      <c r="AA8" s="55">
        <v>38000</v>
      </c>
      <c r="AB8" s="55"/>
      <c r="AC8" s="55">
        <v>86500</v>
      </c>
      <c r="AD8" s="55">
        <v>19000</v>
      </c>
      <c r="AE8" s="55">
        <v>19500</v>
      </c>
      <c r="AF8" s="55">
        <v>84500</v>
      </c>
      <c r="AG8" s="55"/>
      <c r="AH8" s="55">
        <v>252500</v>
      </c>
      <c r="AI8" s="55">
        <v>55750</v>
      </c>
      <c r="AJ8" s="55"/>
      <c r="AK8" s="55">
        <v>57200</v>
      </c>
      <c r="AL8" s="55"/>
      <c r="AM8" s="55">
        <v>41000</v>
      </c>
      <c r="AN8" s="55"/>
      <c r="AO8" s="55">
        <v>18500</v>
      </c>
      <c r="AP8" s="55">
        <v>232000</v>
      </c>
      <c r="AQ8" s="55">
        <v>18700</v>
      </c>
      <c r="AR8" s="55">
        <v>16450</v>
      </c>
      <c r="AS8" s="55"/>
      <c r="AT8" s="56">
        <f>SUM(B8:AS8)</f>
        <v>2990437.1399999997</v>
      </c>
      <c r="AU8" s="23">
        <f>+AT8/$AT$13</f>
        <v>0.99282877368504163</v>
      </c>
    </row>
    <row r="9" spans="1:48" x14ac:dyDescent="0.2">
      <c r="A9" s="2" t="s">
        <v>94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6">
        <v>21600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6">
        <f t="shared" ref="AT9:AT12" si="0">SUM(B9:AS9)</f>
        <v>21600</v>
      </c>
      <c r="AU9" s="23">
        <f>+AT9/$AT$13</f>
        <v>7.1712263149583877E-3</v>
      </c>
    </row>
    <row r="10" spans="1:48" x14ac:dyDescent="0.2">
      <c r="B10" s="55"/>
      <c r="C10" s="55"/>
      <c r="D10" s="55"/>
      <c r="E10" s="55"/>
      <c r="F10" s="55"/>
      <c r="G10" s="55"/>
      <c r="H10" s="26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6">
        <f t="shared" si="0"/>
        <v>0</v>
      </c>
      <c r="AU10" s="23">
        <f>+AT10/$AT$13</f>
        <v>0</v>
      </c>
    </row>
    <row r="11" spans="1:48" x14ac:dyDescent="0.2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6">
        <f t="shared" si="0"/>
        <v>0</v>
      </c>
      <c r="AU11" s="23">
        <f>+AT11/$AT$13</f>
        <v>0</v>
      </c>
    </row>
    <row r="12" spans="1:48" x14ac:dyDescent="0.2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6">
        <f t="shared" si="0"/>
        <v>0</v>
      </c>
      <c r="AU12" s="23">
        <f>+AT12/$AT$13</f>
        <v>0</v>
      </c>
    </row>
    <row r="13" spans="1:48" ht="12.75" thickBot="1" x14ac:dyDescent="0.25">
      <c r="A13" s="14" t="s">
        <v>37</v>
      </c>
      <c r="B13" s="14">
        <f>SUM(B8:B12)</f>
        <v>313000</v>
      </c>
      <c r="C13" s="14">
        <f t="shared" ref="C13:AS13" si="1">SUM(C8:C12)</f>
        <v>105500</v>
      </c>
      <c r="D13" s="14">
        <f t="shared" si="1"/>
        <v>56750</v>
      </c>
      <c r="E13" s="14">
        <f t="shared" si="1"/>
        <v>88650</v>
      </c>
      <c r="F13" s="14">
        <f t="shared" si="1"/>
        <v>272900</v>
      </c>
      <c r="G13" s="14">
        <f t="shared" si="1"/>
        <v>58750</v>
      </c>
      <c r="H13" s="14">
        <f t="shared" si="1"/>
        <v>0</v>
      </c>
      <c r="I13" s="14">
        <f t="shared" si="1"/>
        <v>464900</v>
      </c>
      <c r="J13" s="14">
        <f t="shared" si="1"/>
        <v>187737.1399999999</v>
      </c>
      <c r="K13" s="14">
        <f t="shared" si="1"/>
        <v>19000</v>
      </c>
      <c r="L13" s="14">
        <f t="shared" si="1"/>
        <v>88300</v>
      </c>
      <c r="M13" s="14">
        <f t="shared" si="1"/>
        <v>75200</v>
      </c>
      <c r="N13" s="14">
        <f t="shared" si="1"/>
        <v>0</v>
      </c>
      <c r="O13" s="14">
        <f t="shared" si="1"/>
        <v>0</v>
      </c>
      <c r="P13" s="14">
        <f t="shared" si="1"/>
        <v>0</v>
      </c>
      <c r="Q13" s="14">
        <f t="shared" si="1"/>
        <v>0</v>
      </c>
      <c r="R13" s="14">
        <f t="shared" si="1"/>
        <v>97750</v>
      </c>
      <c r="S13" s="14">
        <f t="shared" si="1"/>
        <v>98250</v>
      </c>
      <c r="T13" s="14">
        <f t="shared" si="1"/>
        <v>55750</v>
      </c>
      <c r="U13" s="14">
        <f t="shared" si="1"/>
        <v>0</v>
      </c>
      <c r="V13" s="14">
        <f t="shared" si="1"/>
        <v>54000</v>
      </c>
      <c r="W13" s="14">
        <f t="shared" si="1"/>
        <v>0</v>
      </c>
      <c r="X13" s="14">
        <f t="shared" si="1"/>
        <v>0</v>
      </c>
      <c r="Y13" s="14">
        <f t="shared" si="1"/>
        <v>0</v>
      </c>
      <c r="Z13" s="14">
        <f t="shared" si="1"/>
        <v>36000</v>
      </c>
      <c r="AA13" s="14">
        <f t="shared" si="1"/>
        <v>38000</v>
      </c>
      <c r="AB13" s="14">
        <f t="shared" si="1"/>
        <v>0</v>
      </c>
      <c r="AC13" s="14">
        <f t="shared" si="1"/>
        <v>86500</v>
      </c>
      <c r="AD13" s="14">
        <f t="shared" si="1"/>
        <v>19000</v>
      </c>
      <c r="AE13" s="14">
        <f t="shared" si="1"/>
        <v>19500</v>
      </c>
      <c r="AF13" s="14">
        <f t="shared" si="1"/>
        <v>84500</v>
      </c>
      <c r="AG13" s="14">
        <f t="shared" si="1"/>
        <v>0</v>
      </c>
      <c r="AH13" s="14">
        <f t="shared" si="1"/>
        <v>252500</v>
      </c>
      <c r="AI13" s="14">
        <f t="shared" si="1"/>
        <v>55750</v>
      </c>
      <c r="AJ13" s="14">
        <f t="shared" si="1"/>
        <v>0</v>
      </c>
      <c r="AK13" s="14">
        <f t="shared" si="1"/>
        <v>57200</v>
      </c>
      <c r="AL13" s="14">
        <f t="shared" si="1"/>
        <v>0</v>
      </c>
      <c r="AM13" s="14">
        <f t="shared" si="1"/>
        <v>41000</v>
      </c>
      <c r="AN13" s="14">
        <f t="shared" si="1"/>
        <v>0</v>
      </c>
      <c r="AO13" s="14">
        <f t="shared" si="1"/>
        <v>18500</v>
      </c>
      <c r="AP13" s="14">
        <f t="shared" si="1"/>
        <v>232000</v>
      </c>
      <c r="AQ13" s="14">
        <f t="shared" si="1"/>
        <v>18700</v>
      </c>
      <c r="AR13" s="14">
        <f t="shared" si="1"/>
        <v>16450</v>
      </c>
      <c r="AS13" s="14">
        <f t="shared" si="1"/>
        <v>0</v>
      </c>
      <c r="AT13" s="14">
        <f>SUM(AT8:AT12)</f>
        <v>3012037.1399999997</v>
      </c>
      <c r="AU13" s="10">
        <f>SUM(AU8:AU12)</f>
        <v>1</v>
      </c>
    </row>
    <row r="14" spans="1:48" ht="12.75" thickTop="1" x14ac:dyDescent="0.2"/>
    <row r="15" spans="1:48" x14ac:dyDescent="0.2">
      <c r="A15" s="2" t="s">
        <v>39</v>
      </c>
      <c r="B15" s="26">
        <v>124056.03000000003</v>
      </c>
      <c r="C15" s="26">
        <v>2670</v>
      </c>
      <c r="D15" s="26">
        <v>28712.87999999999</v>
      </c>
      <c r="E15" s="26">
        <v>43443.56</v>
      </c>
      <c r="F15" s="26">
        <v>112936.41000000003</v>
      </c>
      <c r="G15" s="26">
        <v>29866.320000000007</v>
      </c>
      <c r="H15" s="26"/>
      <c r="I15" s="26">
        <v>192935.78000000003</v>
      </c>
      <c r="J15" s="26">
        <v>71388.099999999977</v>
      </c>
      <c r="K15" s="26">
        <v>8805</v>
      </c>
      <c r="L15" s="26">
        <v>39201.709999999992</v>
      </c>
      <c r="M15" s="26">
        <v>27434.839999999997</v>
      </c>
      <c r="N15" s="26"/>
      <c r="O15" s="26"/>
      <c r="P15" s="26"/>
      <c r="Q15" s="26"/>
      <c r="R15" s="26">
        <v>41737.829999999958</v>
      </c>
      <c r="S15" s="26">
        <v>45617.140000000014</v>
      </c>
      <c r="T15" s="26">
        <v>22319.499999999985</v>
      </c>
      <c r="U15" s="26"/>
      <c r="V15" s="26">
        <v>26610.5</v>
      </c>
      <c r="W15" s="26"/>
      <c r="X15" s="26"/>
      <c r="Y15" s="26"/>
      <c r="Z15" s="26">
        <v>16860</v>
      </c>
      <c r="AA15" s="26">
        <v>19607.839999999997</v>
      </c>
      <c r="AB15" s="26"/>
      <c r="AC15" s="26">
        <v>33555.439999999973</v>
      </c>
      <c r="AD15" s="26">
        <v>17418.179999999993</v>
      </c>
      <c r="AE15" s="26">
        <v>9925</v>
      </c>
      <c r="AF15" s="26">
        <v>44081.56</v>
      </c>
      <c r="AG15" s="26"/>
      <c r="AH15" s="26">
        <v>109008.42999999993</v>
      </c>
      <c r="AI15" s="26">
        <v>12682.070000000007</v>
      </c>
      <c r="AJ15" s="26"/>
      <c r="AK15" s="26">
        <v>28202.880000000005</v>
      </c>
      <c r="AL15" s="26"/>
      <c r="AM15" s="26">
        <v>16091.000000000015</v>
      </c>
      <c r="AN15" s="26"/>
      <c r="AO15" s="26">
        <v>8405</v>
      </c>
      <c r="AP15" s="26">
        <v>69106.989999999932</v>
      </c>
      <c r="AQ15" s="26">
        <v>8805</v>
      </c>
      <c r="AR15" s="26"/>
      <c r="AS15" s="26">
        <v>309371.74</v>
      </c>
      <c r="AT15" s="30">
        <f t="shared" ref="AT15:AT44" si="2">SUM(B15:AS15)</f>
        <v>1520856.73</v>
      </c>
      <c r="AU15" s="23">
        <f t="shared" ref="AU15:AU44" si="3">+AT15/$AT$45</f>
        <v>0.54993499380218036</v>
      </c>
      <c r="AV15" s="2" t="s">
        <v>68</v>
      </c>
    </row>
    <row r="16" spans="1:48" x14ac:dyDescent="0.2">
      <c r="A16" s="2" t="s">
        <v>40</v>
      </c>
      <c r="B16" s="26">
        <v>14038.150000000009</v>
      </c>
      <c r="C16" s="26">
        <v>0</v>
      </c>
      <c r="D16" s="26">
        <v>3249.25</v>
      </c>
      <c r="E16" s="26">
        <v>5453.3700000000026</v>
      </c>
      <c r="F16" s="26">
        <v>13134.64</v>
      </c>
      <c r="G16" s="26">
        <v>3249.1500000000015</v>
      </c>
      <c r="H16" s="26"/>
      <c r="I16" s="26">
        <v>26614.25999999998</v>
      </c>
      <c r="J16" s="26">
        <v>10436.310000000005</v>
      </c>
      <c r="K16" s="26">
        <v>1078.96</v>
      </c>
      <c r="L16" s="26">
        <v>4454.9700000000048</v>
      </c>
      <c r="M16" s="26">
        <v>3308.5999999999985</v>
      </c>
      <c r="N16" s="26"/>
      <c r="O16" s="26"/>
      <c r="P16" s="26"/>
      <c r="Q16" s="26"/>
      <c r="R16" s="26">
        <v>5154.9799999999959</v>
      </c>
      <c r="S16" s="26">
        <v>6283.8299999999981</v>
      </c>
      <c r="T16" s="26">
        <v>2197.7800000000007</v>
      </c>
      <c r="U16" s="26"/>
      <c r="V16" s="26">
        <v>3268.41</v>
      </c>
      <c r="W16" s="26"/>
      <c r="X16" s="26"/>
      <c r="Y16" s="26"/>
      <c r="Z16" s="26">
        <v>2154.0300000000007</v>
      </c>
      <c r="AA16" s="26">
        <v>2213.83</v>
      </c>
      <c r="AB16" s="26"/>
      <c r="AC16" s="26">
        <v>4364.3000000000029</v>
      </c>
      <c r="AD16" s="26">
        <v>2176.119999999999</v>
      </c>
      <c r="AE16" s="26">
        <v>1077.0200000000004</v>
      </c>
      <c r="AF16" s="26">
        <v>5426.1000000000022</v>
      </c>
      <c r="AG16" s="26"/>
      <c r="AH16" s="26">
        <v>12897.12000000001</v>
      </c>
      <c r="AI16" s="26">
        <v>1745.9900000000016</v>
      </c>
      <c r="AJ16" s="26"/>
      <c r="AK16" s="26">
        <v>3281.9499999999989</v>
      </c>
      <c r="AL16" s="26"/>
      <c r="AM16" s="26">
        <v>2176.2100000000009</v>
      </c>
      <c r="AN16" s="26"/>
      <c r="AO16" s="26">
        <v>1086.4800000000005</v>
      </c>
      <c r="AP16" s="26">
        <v>9306.4900000000052</v>
      </c>
      <c r="AQ16" s="26">
        <v>1075.6600000000008</v>
      </c>
      <c r="AR16" s="26"/>
      <c r="AS16" s="26">
        <v>32694.080000000002</v>
      </c>
      <c r="AT16" s="30">
        <f t="shared" si="2"/>
        <v>183598.04000000004</v>
      </c>
      <c r="AU16" s="23">
        <f t="shared" si="3"/>
        <v>6.638823039530653E-2</v>
      </c>
      <c r="AV16" s="2" t="s">
        <v>68</v>
      </c>
    </row>
    <row r="17" spans="1:48" x14ac:dyDescent="0.2">
      <c r="A17" s="2" t="s">
        <v>41</v>
      </c>
      <c r="B17" s="26">
        <v>9848.3000000000029</v>
      </c>
      <c r="C17" s="26">
        <v>200.11999999999989</v>
      </c>
      <c r="D17" s="26">
        <v>2418.0499999999993</v>
      </c>
      <c r="E17" s="26">
        <v>3606.9300000000003</v>
      </c>
      <c r="F17" s="26">
        <v>9396.0899999999965</v>
      </c>
      <c r="G17" s="26">
        <v>2401.1000000000004</v>
      </c>
      <c r="H17" s="26"/>
      <c r="I17" s="26">
        <v>18916.899999999994</v>
      </c>
      <c r="J17" s="26">
        <v>6934.9700000000012</v>
      </c>
      <c r="K17" s="26">
        <v>791.86000000000058</v>
      </c>
      <c r="L17" s="26">
        <v>3313.489999999998</v>
      </c>
      <c r="M17" s="26">
        <v>2464.08</v>
      </c>
      <c r="N17" s="26"/>
      <c r="O17" s="26"/>
      <c r="P17" s="26"/>
      <c r="Q17" s="26"/>
      <c r="R17" s="26">
        <v>3034.75</v>
      </c>
      <c r="S17" s="26">
        <v>4211.2100000000028</v>
      </c>
      <c r="T17" s="26">
        <v>1684.9700000000012</v>
      </c>
      <c r="U17" s="26"/>
      <c r="V17" s="26">
        <v>2443.34</v>
      </c>
      <c r="W17" s="26"/>
      <c r="X17" s="26"/>
      <c r="Y17" s="26"/>
      <c r="Z17" s="26">
        <v>1295.7699999999995</v>
      </c>
      <c r="AA17" s="26">
        <v>1690.6400000000012</v>
      </c>
      <c r="AB17" s="26"/>
      <c r="AC17" s="26">
        <v>3219.8300000000017</v>
      </c>
      <c r="AD17" s="26">
        <v>1595.0100000000002</v>
      </c>
      <c r="AE17" s="26">
        <v>790.75</v>
      </c>
      <c r="AF17" s="26">
        <v>3601.8199999999997</v>
      </c>
      <c r="AG17" s="26"/>
      <c r="AH17" s="26">
        <v>9948.7400000000052</v>
      </c>
      <c r="AI17" s="26">
        <v>1485.4400000000005</v>
      </c>
      <c r="AJ17" s="26"/>
      <c r="AK17" s="26">
        <v>2434.4599999999991</v>
      </c>
      <c r="AL17" s="26"/>
      <c r="AM17" s="26">
        <v>1563.8799999999992</v>
      </c>
      <c r="AN17" s="26"/>
      <c r="AO17" s="26">
        <v>800.21999999999935</v>
      </c>
      <c r="AP17" s="26">
        <v>6397.3699999999953</v>
      </c>
      <c r="AQ17" s="26">
        <v>788.22999999999956</v>
      </c>
      <c r="AR17" s="26"/>
      <c r="AS17" s="26">
        <v>13812.68</v>
      </c>
      <c r="AT17" s="30">
        <f t="shared" si="2"/>
        <v>121091</v>
      </c>
      <c r="AU17" s="23">
        <f t="shared" si="3"/>
        <v>4.3785964200914462E-2</v>
      </c>
      <c r="AV17" s="2" t="s">
        <v>68</v>
      </c>
    </row>
    <row r="18" spans="1:48" x14ac:dyDescent="0.2">
      <c r="A18" s="2" t="s">
        <v>42</v>
      </c>
      <c r="B18" s="26">
        <v>5787.8700000000026</v>
      </c>
      <c r="C18" s="26">
        <v>500.28999999999996</v>
      </c>
      <c r="D18" s="26">
        <v>1433.8400000000001</v>
      </c>
      <c r="E18" s="26">
        <v>2138.84</v>
      </c>
      <c r="F18" s="26">
        <v>5583.9000000000015</v>
      </c>
      <c r="G18" s="26">
        <v>1423.8000000000011</v>
      </c>
      <c r="H18" s="26"/>
      <c r="I18" s="26">
        <v>11200.849999999991</v>
      </c>
      <c r="J18" s="26">
        <v>4221.8499999999985</v>
      </c>
      <c r="K18" s="26">
        <v>469.55999999999995</v>
      </c>
      <c r="L18" s="26">
        <v>2129.66</v>
      </c>
      <c r="M18" s="26">
        <v>1461.1499999999996</v>
      </c>
      <c r="N18" s="26"/>
      <c r="O18" s="26"/>
      <c r="P18" s="26"/>
      <c r="Q18" s="26"/>
      <c r="R18" s="26">
        <v>1799.5499999999993</v>
      </c>
      <c r="S18" s="26">
        <v>2497.16</v>
      </c>
      <c r="T18" s="26">
        <v>999.15999999999985</v>
      </c>
      <c r="U18" s="26"/>
      <c r="V18" s="26">
        <v>1448.8500000000004</v>
      </c>
      <c r="W18" s="26"/>
      <c r="X18" s="26"/>
      <c r="Y18" s="26"/>
      <c r="Z18" s="26">
        <v>768.36000000000058</v>
      </c>
      <c r="AA18" s="26">
        <v>990.51999999999953</v>
      </c>
      <c r="AB18" s="26"/>
      <c r="AC18" s="26">
        <v>1909.2900000000009</v>
      </c>
      <c r="AD18" s="26">
        <v>945.79999999999927</v>
      </c>
      <c r="AE18" s="26">
        <v>468.90000000000009</v>
      </c>
      <c r="AF18" s="26">
        <v>2135.8099999999995</v>
      </c>
      <c r="AG18" s="26"/>
      <c r="AH18" s="26">
        <v>5911.1899999999951</v>
      </c>
      <c r="AI18" s="26">
        <v>880.82999999999993</v>
      </c>
      <c r="AJ18" s="26"/>
      <c r="AK18" s="26">
        <v>1443.5900000000011</v>
      </c>
      <c r="AL18" s="26"/>
      <c r="AM18" s="26">
        <v>927.35000000000036</v>
      </c>
      <c r="AN18" s="26"/>
      <c r="AO18" s="26">
        <v>474.52</v>
      </c>
      <c r="AP18" s="26">
        <v>3793.5099999999984</v>
      </c>
      <c r="AQ18" s="26">
        <v>467.40999999999985</v>
      </c>
      <c r="AR18" s="26"/>
      <c r="AS18" s="26">
        <v>20425.72</v>
      </c>
      <c r="AT18" s="30">
        <f t="shared" si="2"/>
        <v>84639.13</v>
      </c>
      <c r="AU18" s="23">
        <f t="shared" si="3"/>
        <v>3.0605130985593854E-2</v>
      </c>
      <c r="AV18" s="2" t="s">
        <v>68</v>
      </c>
    </row>
    <row r="19" spans="1:48" x14ac:dyDescent="0.2">
      <c r="A19" s="2" t="s">
        <v>43</v>
      </c>
      <c r="B19" s="26">
        <v>5202.630000000001</v>
      </c>
      <c r="C19" s="26">
        <v>111.96999999999991</v>
      </c>
      <c r="D19" s="26">
        <v>1204.1499999999996</v>
      </c>
      <c r="E19" s="26">
        <v>1821.9300000000003</v>
      </c>
      <c r="F19" s="26">
        <v>4736.3000000000029</v>
      </c>
      <c r="G19" s="26">
        <v>1252.5300000000007</v>
      </c>
      <c r="H19" s="26"/>
      <c r="I19" s="26">
        <v>8091.2899999999936</v>
      </c>
      <c r="J19" s="26">
        <v>2993.8599999999969</v>
      </c>
      <c r="K19" s="26">
        <v>369.26</v>
      </c>
      <c r="L19" s="26">
        <v>1644.0300000000007</v>
      </c>
      <c r="M19" s="26">
        <v>1150.5599999999995</v>
      </c>
      <c r="N19" s="26"/>
      <c r="O19" s="26"/>
      <c r="P19" s="26"/>
      <c r="Q19" s="26"/>
      <c r="R19" s="26">
        <v>1750.3899999999994</v>
      </c>
      <c r="S19" s="26">
        <v>1913.08</v>
      </c>
      <c r="T19" s="26">
        <v>936.03000000000065</v>
      </c>
      <c r="U19" s="26"/>
      <c r="V19" s="26">
        <v>1115.9799999999996</v>
      </c>
      <c r="W19" s="26"/>
      <c r="X19" s="26"/>
      <c r="Y19" s="26"/>
      <c r="Z19" s="26">
        <v>707.06999999999971</v>
      </c>
      <c r="AA19" s="26">
        <v>822.3100000000004</v>
      </c>
      <c r="AB19" s="26"/>
      <c r="AC19" s="26">
        <v>1407.2400000000016</v>
      </c>
      <c r="AD19" s="26">
        <v>730.48000000000047</v>
      </c>
      <c r="AE19" s="26">
        <v>416.23</v>
      </c>
      <c r="AF19" s="26">
        <v>1848.6800000000003</v>
      </c>
      <c r="AG19" s="26"/>
      <c r="AH19" s="26">
        <v>4571.5700000000033</v>
      </c>
      <c r="AI19" s="26">
        <v>531.86000000000013</v>
      </c>
      <c r="AJ19" s="26"/>
      <c r="AK19" s="26">
        <v>1182.7699999999995</v>
      </c>
      <c r="AL19" s="26"/>
      <c r="AM19" s="26">
        <v>674.82000000000062</v>
      </c>
      <c r="AN19" s="26"/>
      <c r="AO19" s="26">
        <v>352.48999999999978</v>
      </c>
      <c r="AP19" s="26">
        <v>2898.1900000000023</v>
      </c>
      <c r="AQ19" s="26">
        <v>369.14000000000033</v>
      </c>
      <c r="AR19" s="26"/>
      <c r="AS19" s="26">
        <v>8288.0300000000007</v>
      </c>
      <c r="AT19" s="30">
        <f t="shared" si="2"/>
        <v>59094.869999999988</v>
      </c>
      <c r="AU19" s="23">
        <f t="shared" si="3"/>
        <v>2.1368440778238625E-2</v>
      </c>
    </row>
    <row r="20" spans="1:48" x14ac:dyDescent="0.2">
      <c r="A20" s="2" t="s">
        <v>44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/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/>
      <c r="O20" s="26"/>
      <c r="P20" s="26"/>
      <c r="Q20" s="26"/>
      <c r="R20" s="26">
        <v>0</v>
      </c>
      <c r="S20" s="26">
        <v>0</v>
      </c>
      <c r="T20" s="26">
        <v>0</v>
      </c>
      <c r="U20" s="26"/>
      <c r="V20" s="26">
        <v>0</v>
      </c>
      <c r="W20" s="26"/>
      <c r="X20" s="26"/>
      <c r="Y20" s="26"/>
      <c r="Z20" s="26">
        <v>0</v>
      </c>
      <c r="AA20" s="26">
        <v>0</v>
      </c>
      <c r="AB20" s="26"/>
      <c r="AC20" s="26">
        <v>0</v>
      </c>
      <c r="AD20" s="26">
        <v>0</v>
      </c>
      <c r="AE20" s="26">
        <v>0</v>
      </c>
      <c r="AF20" s="26">
        <v>0</v>
      </c>
      <c r="AG20" s="26"/>
      <c r="AH20" s="26">
        <v>0</v>
      </c>
      <c r="AI20" s="26">
        <v>0</v>
      </c>
      <c r="AJ20" s="26"/>
      <c r="AK20" s="26">
        <v>0</v>
      </c>
      <c r="AL20" s="26"/>
      <c r="AM20" s="26">
        <v>0</v>
      </c>
      <c r="AN20" s="26"/>
      <c r="AO20" s="26">
        <v>0</v>
      </c>
      <c r="AP20" s="26">
        <v>0</v>
      </c>
      <c r="AQ20" s="26">
        <v>0</v>
      </c>
      <c r="AR20" s="26"/>
      <c r="AS20" s="26">
        <v>1929.06</v>
      </c>
      <c r="AT20" s="30">
        <f t="shared" si="2"/>
        <v>1929.06</v>
      </c>
      <c r="AU20" s="23">
        <f t="shared" si="3"/>
        <v>6.9753947115323226E-4</v>
      </c>
    </row>
    <row r="21" spans="1:48" x14ac:dyDescent="0.2">
      <c r="A21" s="2" t="s">
        <v>45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/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/>
      <c r="O21" s="26"/>
      <c r="P21" s="26"/>
      <c r="Q21" s="26"/>
      <c r="R21" s="26">
        <v>0</v>
      </c>
      <c r="S21" s="26">
        <v>0</v>
      </c>
      <c r="T21" s="26">
        <v>0</v>
      </c>
      <c r="U21" s="26"/>
      <c r="V21" s="26">
        <v>0</v>
      </c>
      <c r="W21" s="26"/>
      <c r="X21" s="26"/>
      <c r="Y21" s="26"/>
      <c r="Z21" s="26">
        <v>0</v>
      </c>
      <c r="AA21" s="26">
        <v>0</v>
      </c>
      <c r="AB21" s="26"/>
      <c r="AC21" s="26">
        <v>0</v>
      </c>
      <c r="AD21" s="26">
        <v>0</v>
      </c>
      <c r="AE21" s="26">
        <v>0</v>
      </c>
      <c r="AF21" s="26">
        <v>0</v>
      </c>
      <c r="AG21" s="26"/>
      <c r="AH21" s="26">
        <v>0</v>
      </c>
      <c r="AI21" s="26">
        <v>0</v>
      </c>
      <c r="AJ21" s="26"/>
      <c r="AK21" s="26">
        <v>0</v>
      </c>
      <c r="AL21" s="26"/>
      <c r="AM21" s="26">
        <v>0</v>
      </c>
      <c r="AN21" s="26"/>
      <c r="AO21" s="26">
        <v>0</v>
      </c>
      <c r="AP21" s="26">
        <v>0</v>
      </c>
      <c r="AQ21" s="26">
        <v>0</v>
      </c>
      <c r="AR21" s="26"/>
      <c r="AS21" s="26">
        <v>0</v>
      </c>
      <c r="AT21" s="30">
        <f t="shared" si="2"/>
        <v>0</v>
      </c>
      <c r="AU21" s="23">
        <f t="shared" si="3"/>
        <v>0</v>
      </c>
    </row>
    <row r="22" spans="1:48" x14ac:dyDescent="0.2">
      <c r="A22" s="2" t="s">
        <v>46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/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/>
      <c r="O22" s="26"/>
      <c r="P22" s="26"/>
      <c r="Q22" s="26"/>
      <c r="R22" s="26">
        <v>0</v>
      </c>
      <c r="S22" s="26">
        <v>0</v>
      </c>
      <c r="T22" s="26">
        <v>0</v>
      </c>
      <c r="U22" s="26"/>
      <c r="V22" s="26">
        <v>0</v>
      </c>
      <c r="W22" s="26"/>
      <c r="X22" s="26"/>
      <c r="Y22" s="26"/>
      <c r="Z22" s="26">
        <v>0</v>
      </c>
      <c r="AA22" s="26">
        <v>0</v>
      </c>
      <c r="AB22" s="26"/>
      <c r="AC22" s="26">
        <v>0</v>
      </c>
      <c r="AD22" s="26">
        <v>0</v>
      </c>
      <c r="AE22" s="26">
        <v>0</v>
      </c>
      <c r="AF22" s="26">
        <v>0</v>
      </c>
      <c r="AG22" s="26"/>
      <c r="AH22" s="26">
        <v>0</v>
      </c>
      <c r="AI22" s="26">
        <v>0</v>
      </c>
      <c r="AJ22" s="26"/>
      <c r="AK22" s="26">
        <v>0</v>
      </c>
      <c r="AL22" s="26"/>
      <c r="AM22" s="26">
        <v>0</v>
      </c>
      <c r="AN22" s="26"/>
      <c r="AO22" s="26">
        <v>0</v>
      </c>
      <c r="AP22" s="26">
        <v>0</v>
      </c>
      <c r="AQ22" s="26">
        <v>0</v>
      </c>
      <c r="AR22" s="26"/>
      <c r="AS22" s="26">
        <v>0</v>
      </c>
      <c r="AT22" s="30">
        <f t="shared" si="2"/>
        <v>0</v>
      </c>
      <c r="AU22" s="23">
        <f t="shared" si="3"/>
        <v>0</v>
      </c>
    </row>
    <row r="23" spans="1:48" x14ac:dyDescent="0.2">
      <c r="A23" s="2" t="s">
        <v>47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/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/>
      <c r="O23" s="26"/>
      <c r="P23" s="26"/>
      <c r="Q23" s="26"/>
      <c r="R23" s="26">
        <v>0</v>
      </c>
      <c r="S23" s="26">
        <v>0</v>
      </c>
      <c r="T23" s="26">
        <v>0</v>
      </c>
      <c r="U23" s="26"/>
      <c r="V23" s="26">
        <v>0</v>
      </c>
      <c r="W23" s="26"/>
      <c r="X23" s="26"/>
      <c r="Y23" s="26"/>
      <c r="Z23" s="26">
        <v>0</v>
      </c>
      <c r="AA23" s="26">
        <v>0</v>
      </c>
      <c r="AB23" s="26"/>
      <c r="AC23" s="26">
        <v>0</v>
      </c>
      <c r="AD23" s="26">
        <v>0</v>
      </c>
      <c r="AE23" s="26">
        <v>0</v>
      </c>
      <c r="AF23" s="26">
        <v>0</v>
      </c>
      <c r="AG23" s="26"/>
      <c r="AH23" s="26">
        <v>0</v>
      </c>
      <c r="AI23" s="26">
        <v>0</v>
      </c>
      <c r="AJ23" s="26"/>
      <c r="AK23" s="26">
        <v>0</v>
      </c>
      <c r="AL23" s="26"/>
      <c r="AM23" s="26">
        <v>0</v>
      </c>
      <c r="AN23" s="26"/>
      <c r="AO23" s="26">
        <v>0</v>
      </c>
      <c r="AP23" s="26">
        <v>0</v>
      </c>
      <c r="AQ23" s="26">
        <v>0</v>
      </c>
      <c r="AR23" s="26"/>
      <c r="AS23" s="26">
        <v>1292.9000000000001</v>
      </c>
      <c r="AT23" s="30">
        <f t="shared" si="2"/>
        <v>1292.9000000000001</v>
      </c>
      <c r="AU23" s="23">
        <f t="shared" si="3"/>
        <v>4.675068594310255E-4</v>
      </c>
    </row>
    <row r="24" spans="1:48" x14ac:dyDescent="0.2">
      <c r="A24" s="2" t="s">
        <v>48</v>
      </c>
      <c r="B24" s="26">
        <v>567.24</v>
      </c>
      <c r="C24" s="26">
        <v>567.24</v>
      </c>
      <c r="D24" s="26">
        <v>567.24</v>
      </c>
      <c r="E24" s="26">
        <v>567.24</v>
      </c>
      <c r="F24" s="26">
        <v>567.24</v>
      </c>
      <c r="G24" s="26">
        <v>567.24</v>
      </c>
      <c r="H24" s="26"/>
      <c r="I24" s="26">
        <v>567.24</v>
      </c>
      <c r="J24" s="26">
        <v>567.24</v>
      </c>
      <c r="K24" s="26">
        <v>0</v>
      </c>
      <c r="L24" s="26">
        <v>567.24</v>
      </c>
      <c r="M24" s="26">
        <v>567.24</v>
      </c>
      <c r="N24" s="26"/>
      <c r="O24" s="26"/>
      <c r="P24" s="26"/>
      <c r="Q24" s="26"/>
      <c r="R24" s="26">
        <v>1134.48</v>
      </c>
      <c r="S24" s="26">
        <v>567.24</v>
      </c>
      <c r="T24" s="26">
        <v>567.24</v>
      </c>
      <c r="U24" s="26"/>
      <c r="V24" s="26">
        <v>567.23999999999978</v>
      </c>
      <c r="W24" s="26"/>
      <c r="X24" s="26"/>
      <c r="Y24" s="26"/>
      <c r="Z24" s="26">
        <v>567.24</v>
      </c>
      <c r="AA24" s="26">
        <v>567.24</v>
      </c>
      <c r="AB24" s="26"/>
      <c r="AC24" s="26">
        <v>567.24</v>
      </c>
      <c r="AD24" s="26">
        <v>567.24</v>
      </c>
      <c r="AE24" s="26">
        <v>567.24</v>
      </c>
      <c r="AF24" s="26">
        <v>1134.48</v>
      </c>
      <c r="AG24" s="26"/>
      <c r="AH24" s="26">
        <v>567.24</v>
      </c>
      <c r="AI24" s="26">
        <v>567.24</v>
      </c>
      <c r="AJ24" s="26"/>
      <c r="AK24" s="26">
        <v>567.24</v>
      </c>
      <c r="AL24" s="26"/>
      <c r="AM24" s="26">
        <v>567.24</v>
      </c>
      <c r="AN24" s="26"/>
      <c r="AO24" s="26">
        <v>567.24</v>
      </c>
      <c r="AP24" s="26">
        <v>1134.48</v>
      </c>
      <c r="AQ24" s="26">
        <v>567.24</v>
      </c>
      <c r="AR24" s="26"/>
      <c r="AS24" s="26">
        <v>7150.91</v>
      </c>
      <c r="AT24" s="30">
        <f t="shared" si="2"/>
        <v>24168.109999999997</v>
      </c>
      <c r="AU24" s="23">
        <f t="shared" si="3"/>
        <v>8.7390805201357884E-3</v>
      </c>
    </row>
    <row r="25" spans="1:48" x14ac:dyDescent="0.2">
      <c r="A25" s="2" t="s">
        <v>49</v>
      </c>
      <c r="B25" s="26">
        <v>236.96000000000004</v>
      </c>
      <c r="C25" s="26">
        <v>65.489999999999895</v>
      </c>
      <c r="D25" s="26">
        <v>50.449999999999989</v>
      </c>
      <c r="E25" s="26">
        <v>52.049999999999955</v>
      </c>
      <c r="F25" s="26">
        <v>301.02999999999997</v>
      </c>
      <c r="G25" s="26">
        <v>0</v>
      </c>
      <c r="H25" s="26"/>
      <c r="I25" s="26">
        <v>457.99999999999977</v>
      </c>
      <c r="J25" s="26">
        <v>289</v>
      </c>
      <c r="K25" s="26">
        <v>0</v>
      </c>
      <c r="L25" s="26">
        <v>441.49</v>
      </c>
      <c r="M25" s="26">
        <v>85.909999999999968</v>
      </c>
      <c r="N25" s="26"/>
      <c r="O25" s="26"/>
      <c r="P25" s="26"/>
      <c r="Q25" s="26"/>
      <c r="R25" s="26">
        <v>126.18999999999983</v>
      </c>
      <c r="S25" s="26">
        <v>120.44999999999982</v>
      </c>
      <c r="T25" s="26">
        <v>74.290000000000077</v>
      </c>
      <c r="U25" s="26"/>
      <c r="V25" s="26">
        <v>26.400000000000091</v>
      </c>
      <c r="W25" s="26"/>
      <c r="X25" s="26"/>
      <c r="Y25" s="26"/>
      <c r="Z25" s="26">
        <v>22.460000000000008</v>
      </c>
      <c r="AA25" s="26">
        <v>304.01</v>
      </c>
      <c r="AB25" s="26"/>
      <c r="AC25" s="26">
        <v>106.13000000000011</v>
      </c>
      <c r="AD25" s="26">
        <v>13.200000000000017</v>
      </c>
      <c r="AE25" s="26">
        <v>0</v>
      </c>
      <c r="AF25" s="26">
        <v>181.36</v>
      </c>
      <c r="AG25" s="26"/>
      <c r="AH25" s="26">
        <v>390.23</v>
      </c>
      <c r="AI25" s="26">
        <v>87.949999999999932</v>
      </c>
      <c r="AJ25" s="26"/>
      <c r="AK25" s="26">
        <v>121.88999999999987</v>
      </c>
      <c r="AL25" s="26"/>
      <c r="AM25" s="26">
        <v>0</v>
      </c>
      <c r="AN25" s="26"/>
      <c r="AO25" s="26">
        <v>100.09999999999997</v>
      </c>
      <c r="AP25" s="26">
        <v>65.490000000000009</v>
      </c>
      <c r="AQ25" s="26">
        <v>0</v>
      </c>
      <c r="AR25" s="26"/>
      <c r="AS25" s="26">
        <v>270.95</v>
      </c>
      <c r="AT25" s="30">
        <f t="shared" si="2"/>
        <v>3991.4799999999987</v>
      </c>
      <c r="AU25" s="23">
        <f t="shared" si="3"/>
        <v>1.4433013220525555E-3</v>
      </c>
    </row>
    <row r="26" spans="1:48" x14ac:dyDescent="0.2">
      <c r="A26" s="2" t="s">
        <v>50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/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/>
      <c r="O26" s="26"/>
      <c r="P26" s="26"/>
      <c r="Q26" s="26"/>
      <c r="R26" s="26">
        <v>0</v>
      </c>
      <c r="S26" s="26">
        <v>0</v>
      </c>
      <c r="T26" s="26">
        <v>0</v>
      </c>
      <c r="U26" s="26"/>
      <c r="V26" s="26">
        <v>0</v>
      </c>
      <c r="W26" s="26"/>
      <c r="X26" s="26"/>
      <c r="Y26" s="26"/>
      <c r="Z26" s="26">
        <v>0</v>
      </c>
      <c r="AA26" s="26">
        <v>0</v>
      </c>
      <c r="AB26" s="26"/>
      <c r="AC26" s="26">
        <v>0</v>
      </c>
      <c r="AD26" s="26">
        <v>0</v>
      </c>
      <c r="AE26" s="26">
        <v>0</v>
      </c>
      <c r="AF26" s="26">
        <v>0</v>
      </c>
      <c r="AG26" s="26"/>
      <c r="AH26" s="26">
        <v>0</v>
      </c>
      <c r="AI26" s="26">
        <v>0</v>
      </c>
      <c r="AJ26" s="26"/>
      <c r="AK26" s="26">
        <v>0</v>
      </c>
      <c r="AL26" s="26"/>
      <c r="AM26" s="26">
        <v>0</v>
      </c>
      <c r="AN26" s="26"/>
      <c r="AO26" s="26">
        <v>0</v>
      </c>
      <c r="AP26" s="26">
        <v>0</v>
      </c>
      <c r="AQ26" s="26">
        <v>0</v>
      </c>
      <c r="AR26" s="26"/>
      <c r="AS26" s="26">
        <v>44837.96</v>
      </c>
      <c r="AT26" s="30">
        <f t="shared" si="2"/>
        <v>44837.96</v>
      </c>
      <c r="AU26" s="23">
        <f t="shared" si="3"/>
        <v>1.6213205865027412E-2</v>
      </c>
    </row>
    <row r="27" spans="1:48" x14ac:dyDescent="0.2">
      <c r="A27" s="2" t="s">
        <v>51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/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/>
      <c r="O27" s="26"/>
      <c r="P27" s="26"/>
      <c r="Q27" s="26"/>
      <c r="R27" s="26">
        <v>0</v>
      </c>
      <c r="S27" s="26">
        <v>0</v>
      </c>
      <c r="T27" s="26">
        <v>0</v>
      </c>
      <c r="U27" s="26"/>
      <c r="V27" s="26">
        <v>0</v>
      </c>
      <c r="W27" s="26"/>
      <c r="X27" s="26"/>
      <c r="Y27" s="26"/>
      <c r="Z27" s="26">
        <v>0</v>
      </c>
      <c r="AA27" s="26">
        <v>0</v>
      </c>
      <c r="AB27" s="26"/>
      <c r="AC27" s="26">
        <v>0</v>
      </c>
      <c r="AD27" s="26">
        <v>0</v>
      </c>
      <c r="AE27" s="26">
        <v>0</v>
      </c>
      <c r="AF27" s="26">
        <v>0</v>
      </c>
      <c r="AG27" s="26"/>
      <c r="AH27" s="26">
        <v>0</v>
      </c>
      <c r="AI27" s="26">
        <v>0</v>
      </c>
      <c r="AJ27" s="26"/>
      <c r="AK27" s="26">
        <v>0</v>
      </c>
      <c r="AL27" s="26"/>
      <c r="AM27" s="26">
        <v>0</v>
      </c>
      <c r="AN27" s="26"/>
      <c r="AO27" s="26">
        <v>0</v>
      </c>
      <c r="AP27" s="26">
        <v>0</v>
      </c>
      <c r="AQ27" s="26">
        <v>0</v>
      </c>
      <c r="AR27" s="26"/>
      <c r="AS27" s="26">
        <v>0</v>
      </c>
      <c r="AT27" s="30">
        <f t="shared" si="2"/>
        <v>0</v>
      </c>
      <c r="AU27" s="23">
        <f t="shared" si="3"/>
        <v>0</v>
      </c>
    </row>
    <row r="28" spans="1:48" x14ac:dyDescent="0.2">
      <c r="A28" s="2" t="s">
        <v>52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/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/>
      <c r="O28" s="26"/>
      <c r="P28" s="26"/>
      <c r="Q28" s="26"/>
      <c r="R28" s="26">
        <v>0</v>
      </c>
      <c r="S28" s="26">
        <v>0</v>
      </c>
      <c r="T28" s="26">
        <v>0</v>
      </c>
      <c r="U28" s="26"/>
      <c r="V28" s="26">
        <v>0</v>
      </c>
      <c r="W28" s="26"/>
      <c r="X28" s="26"/>
      <c r="Y28" s="26"/>
      <c r="Z28" s="26">
        <v>0</v>
      </c>
      <c r="AA28" s="26">
        <v>0</v>
      </c>
      <c r="AB28" s="26"/>
      <c r="AC28" s="26">
        <v>0</v>
      </c>
      <c r="AD28" s="26">
        <v>0</v>
      </c>
      <c r="AE28" s="26">
        <v>0</v>
      </c>
      <c r="AF28" s="26">
        <v>0</v>
      </c>
      <c r="AG28" s="26"/>
      <c r="AH28" s="26">
        <v>0</v>
      </c>
      <c r="AI28" s="26">
        <v>0</v>
      </c>
      <c r="AJ28" s="26"/>
      <c r="AK28" s="26">
        <v>0</v>
      </c>
      <c r="AL28" s="26"/>
      <c r="AM28" s="26">
        <v>0</v>
      </c>
      <c r="AN28" s="26"/>
      <c r="AO28" s="26">
        <v>0</v>
      </c>
      <c r="AP28" s="26">
        <v>0</v>
      </c>
      <c r="AQ28" s="26">
        <v>0</v>
      </c>
      <c r="AR28" s="26"/>
      <c r="AS28" s="26">
        <v>2100</v>
      </c>
      <c r="AT28" s="30">
        <f t="shared" si="2"/>
        <v>2100</v>
      </c>
      <c r="AU28" s="23">
        <f t="shared" si="3"/>
        <v>7.5935061087876359E-4</v>
      </c>
    </row>
    <row r="29" spans="1:48" x14ac:dyDescent="0.2">
      <c r="A29" s="2" t="s">
        <v>53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/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/>
      <c r="O29" s="26"/>
      <c r="P29" s="26"/>
      <c r="Q29" s="26"/>
      <c r="R29" s="26">
        <v>0</v>
      </c>
      <c r="S29" s="26">
        <v>0</v>
      </c>
      <c r="T29" s="26">
        <v>0</v>
      </c>
      <c r="U29" s="26"/>
      <c r="V29" s="26">
        <v>0</v>
      </c>
      <c r="W29" s="26"/>
      <c r="X29" s="26"/>
      <c r="Y29" s="26"/>
      <c r="Z29" s="26">
        <v>0</v>
      </c>
      <c r="AA29" s="26">
        <v>0</v>
      </c>
      <c r="AB29" s="26"/>
      <c r="AC29" s="26">
        <v>0</v>
      </c>
      <c r="AD29" s="26">
        <v>0</v>
      </c>
      <c r="AE29" s="26">
        <v>0</v>
      </c>
      <c r="AF29" s="26">
        <v>0</v>
      </c>
      <c r="AG29" s="26"/>
      <c r="AH29" s="26">
        <v>0</v>
      </c>
      <c r="AI29" s="26">
        <v>0</v>
      </c>
      <c r="AJ29" s="26"/>
      <c r="AK29" s="26">
        <v>0</v>
      </c>
      <c r="AL29" s="26"/>
      <c r="AM29" s="26">
        <v>0</v>
      </c>
      <c r="AN29" s="26"/>
      <c r="AO29" s="26">
        <v>0</v>
      </c>
      <c r="AP29" s="26">
        <v>0</v>
      </c>
      <c r="AQ29" s="26">
        <v>0</v>
      </c>
      <c r="AR29" s="26"/>
      <c r="AS29" s="26">
        <v>441.16</v>
      </c>
      <c r="AT29" s="30">
        <f t="shared" si="2"/>
        <v>441.16</v>
      </c>
      <c r="AU29" s="23">
        <f t="shared" si="3"/>
        <v>1.5952148356917877E-4</v>
      </c>
    </row>
    <row r="30" spans="1:48" x14ac:dyDescent="0.2">
      <c r="A30" s="2" t="s">
        <v>54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/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/>
      <c r="O30" s="26"/>
      <c r="P30" s="26"/>
      <c r="Q30" s="26"/>
      <c r="R30" s="26">
        <v>0</v>
      </c>
      <c r="S30" s="26">
        <v>0</v>
      </c>
      <c r="T30" s="26">
        <v>0</v>
      </c>
      <c r="U30" s="26"/>
      <c r="V30" s="26">
        <v>0</v>
      </c>
      <c r="W30" s="26"/>
      <c r="X30" s="26"/>
      <c r="Y30" s="26"/>
      <c r="Z30" s="26">
        <v>0</v>
      </c>
      <c r="AA30" s="26">
        <v>0</v>
      </c>
      <c r="AB30" s="26"/>
      <c r="AC30" s="26">
        <v>0</v>
      </c>
      <c r="AD30" s="26">
        <v>0</v>
      </c>
      <c r="AE30" s="26">
        <v>0</v>
      </c>
      <c r="AF30" s="26">
        <v>0</v>
      </c>
      <c r="AG30" s="26"/>
      <c r="AH30" s="26">
        <v>0</v>
      </c>
      <c r="AI30" s="26">
        <v>0</v>
      </c>
      <c r="AJ30" s="26"/>
      <c r="AK30" s="26">
        <v>0</v>
      </c>
      <c r="AL30" s="26"/>
      <c r="AM30" s="26">
        <v>0</v>
      </c>
      <c r="AN30" s="26"/>
      <c r="AO30" s="26">
        <v>0</v>
      </c>
      <c r="AP30" s="26">
        <v>0</v>
      </c>
      <c r="AQ30" s="26">
        <v>0</v>
      </c>
      <c r="AR30" s="26"/>
      <c r="AS30" s="26">
        <v>0</v>
      </c>
      <c r="AT30" s="30">
        <f t="shared" si="2"/>
        <v>0</v>
      </c>
      <c r="AU30" s="23">
        <f t="shared" si="3"/>
        <v>0</v>
      </c>
    </row>
    <row r="31" spans="1:48" x14ac:dyDescent="0.2">
      <c r="A31" s="2" t="s">
        <v>55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/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/>
      <c r="O31" s="26"/>
      <c r="P31" s="26"/>
      <c r="Q31" s="26"/>
      <c r="R31" s="26">
        <v>0</v>
      </c>
      <c r="S31" s="26">
        <v>0</v>
      </c>
      <c r="T31" s="26">
        <v>0</v>
      </c>
      <c r="U31" s="26"/>
      <c r="V31" s="26">
        <v>0</v>
      </c>
      <c r="W31" s="26"/>
      <c r="X31" s="26"/>
      <c r="Y31" s="26"/>
      <c r="Z31" s="26">
        <v>0</v>
      </c>
      <c r="AA31" s="26">
        <v>0</v>
      </c>
      <c r="AB31" s="26"/>
      <c r="AC31" s="26">
        <v>0</v>
      </c>
      <c r="AD31" s="26">
        <v>0</v>
      </c>
      <c r="AE31" s="26">
        <v>0</v>
      </c>
      <c r="AF31" s="26">
        <v>0</v>
      </c>
      <c r="AG31" s="26"/>
      <c r="AH31" s="26">
        <v>0</v>
      </c>
      <c r="AI31" s="26">
        <v>0</v>
      </c>
      <c r="AJ31" s="26"/>
      <c r="AK31" s="26">
        <v>0</v>
      </c>
      <c r="AL31" s="26"/>
      <c r="AM31" s="26">
        <v>0</v>
      </c>
      <c r="AN31" s="26"/>
      <c r="AO31" s="26">
        <v>0</v>
      </c>
      <c r="AP31" s="26">
        <v>0</v>
      </c>
      <c r="AQ31" s="26">
        <v>0</v>
      </c>
      <c r="AR31" s="26"/>
      <c r="AS31" s="26">
        <v>18703.14</v>
      </c>
      <c r="AT31" s="30">
        <f t="shared" si="2"/>
        <v>18703.14</v>
      </c>
      <c r="AU31" s="23">
        <f t="shared" si="3"/>
        <v>6.7629718020719232E-3</v>
      </c>
    </row>
    <row r="32" spans="1:48" x14ac:dyDescent="0.2">
      <c r="A32" s="2" t="s">
        <v>56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/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/>
      <c r="O32" s="26"/>
      <c r="P32" s="26"/>
      <c r="Q32" s="26"/>
      <c r="R32" s="26">
        <v>0</v>
      </c>
      <c r="S32" s="26">
        <v>0</v>
      </c>
      <c r="T32" s="26">
        <v>0</v>
      </c>
      <c r="U32" s="26"/>
      <c r="V32" s="26">
        <v>0</v>
      </c>
      <c r="W32" s="26"/>
      <c r="X32" s="26"/>
      <c r="Y32" s="26"/>
      <c r="Z32" s="26">
        <v>0</v>
      </c>
      <c r="AA32" s="26">
        <v>0</v>
      </c>
      <c r="AB32" s="26"/>
      <c r="AC32" s="26">
        <v>0</v>
      </c>
      <c r="AD32" s="26">
        <v>0</v>
      </c>
      <c r="AE32" s="26">
        <v>0</v>
      </c>
      <c r="AF32" s="26">
        <v>0</v>
      </c>
      <c r="AG32" s="26"/>
      <c r="AH32" s="26">
        <v>0</v>
      </c>
      <c r="AI32" s="26">
        <v>0</v>
      </c>
      <c r="AJ32" s="26"/>
      <c r="AK32" s="26">
        <v>0</v>
      </c>
      <c r="AL32" s="26"/>
      <c r="AM32" s="26">
        <v>0</v>
      </c>
      <c r="AN32" s="26"/>
      <c r="AO32" s="26">
        <v>0</v>
      </c>
      <c r="AP32" s="26">
        <v>0</v>
      </c>
      <c r="AQ32" s="26">
        <v>0</v>
      </c>
      <c r="AR32" s="26"/>
      <c r="AS32" s="26">
        <v>0</v>
      </c>
      <c r="AT32" s="30">
        <f t="shared" si="2"/>
        <v>0</v>
      </c>
      <c r="AU32" s="23">
        <f t="shared" si="3"/>
        <v>0</v>
      </c>
    </row>
    <row r="33" spans="1:48" x14ac:dyDescent="0.2">
      <c r="A33" s="76" t="s">
        <v>102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/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/>
      <c r="O33" s="26"/>
      <c r="P33" s="26"/>
      <c r="Q33" s="26"/>
      <c r="R33" s="26">
        <v>0</v>
      </c>
      <c r="S33" s="26">
        <v>0</v>
      </c>
      <c r="T33" s="26">
        <v>0</v>
      </c>
      <c r="U33" s="26"/>
      <c r="V33" s="26">
        <v>0</v>
      </c>
      <c r="W33" s="26"/>
      <c r="X33" s="26"/>
      <c r="Y33" s="26"/>
      <c r="Z33" s="26">
        <v>0</v>
      </c>
      <c r="AA33" s="26">
        <v>0</v>
      </c>
      <c r="AB33" s="26"/>
      <c r="AC33" s="26">
        <v>0</v>
      </c>
      <c r="AD33" s="26">
        <v>0</v>
      </c>
      <c r="AE33" s="26">
        <v>0</v>
      </c>
      <c r="AF33" s="26">
        <v>0</v>
      </c>
      <c r="AG33" s="26"/>
      <c r="AH33" s="26">
        <v>0</v>
      </c>
      <c r="AI33" s="26">
        <v>0</v>
      </c>
      <c r="AJ33" s="26"/>
      <c r="AK33" s="26">
        <v>0</v>
      </c>
      <c r="AL33" s="26"/>
      <c r="AM33" s="26">
        <v>0</v>
      </c>
      <c r="AN33" s="26"/>
      <c r="AO33" s="26">
        <v>0</v>
      </c>
      <c r="AP33" s="26">
        <v>0</v>
      </c>
      <c r="AQ33" s="26">
        <v>0</v>
      </c>
      <c r="AR33" s="26"/>
      <c r="AS33" s="26">
        <v>5000</v>
      </c>
      <c r="AT33" s="30">
        <f t="shared" si="2"/>
        <v>5000</v>
      </c>
      <c r="AU33" s="23">
        <f t="shared" si="3"/>
        <v>1.8079776449494373E-3</v>
      </c>
    </row>
    <row r="34" spans="1:48" x14ac:dyDescent="0.2">
      <c r="A34" s="2" t="s">
        <v>57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0</v>
      </c>
      <c r="H34" s="26"/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/>
      <c r="O34" s="26"/>
      <c r="P34" s="26"/>
      <c r="Q34" s="26"/>
      <c r="R34" s="26">
        <v>0</v>
      </c>
      <c r="S34" s="26">
        <v>0</v>
      </c>
      <c r="T34" s="26">
        <v>0</v>
      </c>
      <c r="U34" s="26"/>
      <c r="V34" s="26">
        <v>0</v>
      </c>
      <c r="W34" s="26"/>
      <c r="X34" s="26"/>
      <c r="Y34" s="26"/>
      <c r="Z34" s="26">
        <v>0</v>
      </c>
      <c r="AA34" s="26">
        <v>0</v>
      </c>
      <c r="AB34" s="26"/>
      <c r="AC34" s="26">
        <v>0</v>
      </c>
      <c r="AD34" s="26">
        <v>0</v>
      </c>
      <c r="AE34" s="26">
        <v>0</v>
      </c>
      <c r="AF34" s="26">
        <v>0</v>
      </c>
      <c r="AG34" s="26"/>
      <c r="AH34" s="26">
        <v>0</v>
      </c>
      <c r="AI34" s="26">
        <v>0</v>
      </c>
      <c r="AJ34" s="26"/>
      <c r="AK34" s="26">
        <v>0</v>
      </c>
      <c r="AL34" s="26"/>
      <c r="AM34" s="26">
        <v>1592.64</v>
      </c>
      <c r="AN34" s="26"/>
      <c r="AO34" s="26">
        <v>0</v>
      </c>
      <c r="AP34" s="26">
        <v>538</v>
      </c>
      <c r="AQ34" s="26">
        <v>0</v>
      </c>
      <c r="AR34" s="26"/>
      <c r="AS34" s="26">
        <v>0</v>
      </c>
      <c r="AT34" s="30">
        <f t="shared" si="2"/>
        <v>2130.6400000000003</v>
      </c>
      <c r="AU34" s="23">
        <f t="shared" si="3"/>
        <v>7.7042989788701386E-4</v>
      </c>
    </row>
    <row r="35" spans="1:48" x14ac:dyDescent="0.2">
      <c r="A35" s="2" t="s">
        <v>58</v>
      </c>
      <c r="B35" s="26">
        <v>0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/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/>
      <c r="O35" s="26"/>
      <c r="P35" s="26"/>
      <c r="Q35" s="26"/>
      <c r="R35" s="26">
        <v>0</v>
      </c>
      <c r="S35" s="26">
        <v>0</v>
      </c>
      <c r="T35" s="26">
        <v>0</v>
      </c>
      <c r="U35" s="26"/>
      <c r="V35" s="26">
        <v>0</v>
      </c>
      <c r="W35" s="26"/>
      <c r="X35" s="26"/>
      <c r="Y35" s="26"/>
      <c r="Z35" s="26">
        <v>0</v>
      </c>
      <c r="AA35" s="26">
        <v>0</v>
      </c>
      <c r="AB35" s="26"/>
      <c r="AC35" s="26">
        <v>0</v>
      </c>
      <c r="AD35" s="26">
        <v>0</v>
      </c>
      <c r="AE35" s="26">
        <v>0</v>
      </c>
      <c r="AF35" s="26">
        <v>0</v>
      </c>
      <c r="AG35" s="26"/>
      <c r="AH35" s="26">
        <v>0</v>
      </c>
      <c r="AI35" s="26">
        <v>0</v>
      </c>
      <c r="AJ35" s="26"/>
      <c r="AK35" s="26">
        <v>0</v>
      </c>
      <c r="AL35" s="26"/>
      <c r="AM35" s="26">
        <v>0</v>
      </c>
      <c r="AN35" s="26"/>
      <c r="AO35" s="26">
        <v>0</v>
      </c>
      <c r="AP35" s="26">
        <v>0</v>
      </c>
      <c r="AQ35" s="26">
        <v>0</v>
      </c>
      <c r="AR35" s="26"/>
      <c r="AS35" s="26">
        <v>0</v>
      </c>
      <c r="AT35" s="30">
        <f t="shared" si="2"/>
        <v>0</v>
      </c>
      <c r="AU35" s="23">
        <f t="shared" si="3"/>
        <v>0</v>
      </c>
    </row>
    <row r="36" spans="1:48" x14ac:dyDescent="0.2">
      <c r="A36" s="2" t="s">
        <v>59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/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/>
      <c r="O36" s="26"/>
      <c r="P36" s="26"/>
      <c r="Q36" s="26"/>
      <c r="R36" s="26">
        <v>0</v>
      </c>
      <c r="S36" s="26">
        <v>0</v>
      </c>
      <c r="T36" s="26">
        <v>0</v>
      </c>
      <c r="U36" s="26"/>
      <c r="V36" s="26">
        <v>0</v>
      </c>
      <c r="W36" s="26"/>
      <c r="X36" s="26"/>
      <c r="Y36" s="26"/>
      <c r="Z36" s="26">
        <v>0</v>
      </c>
      <c r="AA36" s="26">
        <v>0</v>
      </c>
      <c r="AB36" s="26"/>
      <c r="AC36" s="26">
        <v>0</v>
      </c>
      <c r="AD36" s="26">
        <v>0</v>
      </c>
      <c r="AE36" s="26">
        <v>0</v>
      </c>
      <c r="AF36" s="26">
        <v>0</v>
      </c>
      <c r="AG36" s="26"/>
      <c r="AH36" s="26">
        <v>0</v>
      </c>
      <c r="AI36" s="26">
        <v>0</v>
      </c>
      <c r="AJ36" s="26"/>
      <c r="AK36" s="26">
        <v>0</v>
      </c>
      <c r="AL36" s="26"/>
      <c r="AM36" s="26">
        <v>0</v>
      </c>
      <c r="AN36" s="26"/>
      <c r="AO36" s="26">
        <v>0</v>
      </c>
      <c r="AP36" s="26">
        <v>0</v>
      </c>
      <c r="AQ36" s="26">
        <v>0</v>
      </c>
      <c r="AR36" s="26"/>
      <c r="AS36" s="26">
        <v>0</v>
      </c>
      <c r="AT36" s="30">
        <f t="shared" si="2"/>
        <v>0</v>
      </c>
      <c r="AU36" s="23">
        <f t="shared" si="3"/>
        <v>0</v>
      </c>
    </row>
    <row r="37" spans="1:48" x14ac:dyDescent="0.2">
      <c r="A37" s="2" t="s">
        <v>60</v>
      </c>
      <c r="B37" s="26">
        <v>0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/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/>
      <c r="O37" s="26"/>
      <c r="P37" s="26"/>
      <c r="Q37" s="26"/>
      <c r="R37" s="26">
        <v>0</v>
      </c>
      <c r="S37" s="26">
        <v>0</v>
      </c>
      <c r="T37" s="26">
        <v>0</v>
      </c>
      <c r="U37" s="26"/>
      <c r="V37" s="26">
        <v>0</v>
      </c>
      <c r="W37" s="26"/>
      <c r="X37" s="26"/>
      <c r="Y37" s="26"/>
      <c r="Z37" s="26">
        <v>0</v>
      </c>
      <c r="AA37" s="26">
        <v>0</v>
      </c>
      <c r="AB37" s="26"/>
      <c r="AC37" s="26">
        <v>0</v>
      </c>
      <c r="AD37" s="26">
        <v>0</v>
      </c>
      <c r="AE37" s="26">
        <v>0</v>
      </c>
      <c r="AF37" s="26">
        <v>0</v>
      </c>
      <c r="AG37" s="26"/>
      <c r="AH37" s="26">
        <v>0</v>
      </c>
      <c r="AI37" s="26">
        <v>0</v>
      </c>
      <c r="AJ37" s="26"/>
      <c r="AK37" s="26">
        <v>0</v>
      </c>
      <c r="AL37" s="26"/>
      <c r="AM37" s="26">
        <v>0</v>
      </c>
      <c r="AN37" s="26"/>
      <c r="AO37" s="26">
        <v>0</v>
      </c>
      <c r="AP37" s="26">
        <v>0</v>
      </c>
      <c r="AQ37" s="26">
        <v>0</v>
      </c>
      <c r="AR37" s="26"/>
      <c r="AS37" s="26">
        <v>18400</v>
      </c>
      <c r="AT37" s="30">
        <f t="shared" si="2"/>
        <v>18400</v>
      </c>
      <c r="AU37" s="23">
        <f t="shared" si="3"/>
        <v>6.6533577334139289E-3</v>
      </c>
    </row>
    <row r="38" spans="1:48" x14ac:dyDescent="0.2">
      <c r="A38" s="2" t="s">
        <v>61</v>
      </c>
      <c r="B38" s="26">
        <v>0</v>
      </c>
      <c r="C38" s="26">
        <v>0</v>
      </c>
      <c r="D38" s="26">
        <v>0</v>
      </c>
      <c r="E38" s="26">
        <v>0</v>
      </c>
      <c r="F38" s="26">
        <v>0</v>
      </c>
      <c r="G38" s="26">
        <v>0</v>
      </c>
      <c r="H38" s="26"/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/>
      <c r="O38" s="26"/>
      <c r="P38" s="26"/>
      <c r="Q38" s="26"/>
      <c r="R38" s="26">
        <v>0</v>
      </c>
      <c r="S38" s="26">
        <v>0</v>
      </c>
      <c r="T38" s="26">
        <v>0</v>
      </c>
      <c r="U38" s="26"/>
      <c r="V38" s="26">
        <v>0</v>
      </c>
      <c r="W38" s="26"/>
      <c r="X38" s="26"/>
      <c r="Y38" s="26"/>
      <c r="Z38" s="26">
        <v>0</v>
      </c>
      <c r="AA38" s="26">
        <v>0</v>
      </c>
      <c r="AB38" s="26"/>
      <c r="AC38" s="26">
        <v>0</v>
      </c>
      <c r="AD38" s="26">
        <v>0</v>
      </c>
      <c r="AE38" s="26">
        <v>0</v>
      </c>
      <c r="AF38" s="26">
        <v>0</v>
      </c>
      <c r="AG38" s="26"/>
      <c r="AH38" s="26">
        <v>0</v>
      </c>
      <c r="AI38" s="26">
        <v>0</v>
      </c>
      <c r="AJ38" s="26"/>
      <c r="AK38" s="26">
        <v>0</v>
      </c>
      <c r="AL38" s="26"/>
      <c r="AM38" s="26">
        <v>0</v>
      </c>
      <c r="AN38" s="26"/>
      <c r="AO38" s="26">
        <v>0</v>
      </c>
      <c r="AP38" s="26">
        <v>0</v>
      </c>
      <c r="AQ38" s="26">
        <v>0</v>
      </c>
      <c r="AR38" s="26"/>
      <c r="AS38" s="26">
        <v>0</v>
      </c>
      <c r="AT38" s="30">
        <f t="shared" si="2"/>
        <v>0</v>
      </c>
      <c r="AU38" s="23">
        <f t="shared" si="3"/>
        <v>0</v>
      </c>
    </row>
    <row r="39" spans="1:48" x14ac:dyDescent="0.2">
      <c r="A39" s="76" t="s">
        <v>105</v>
      </c>
      <c r="B39" s="26">
        <v>0</v>
      </c>
      <c r="C39" s="26">
        <v>0</v>
      </c>
      <c r="D39" s="26">
        <v>0</v>
      </c>
      <c r="E39" s="26">
        <v>0</v>
      </c>
      <c r="F39" s="26">
        <v>850</v>
      </c>
      <c r="G39" s="26">
        <v>0</v>
      </c>
      <c r="H39" s="26"/>
      <c r="I39" s="26">
        <v>3200</v>
      </c>
      <c r="J39" s="26">
        <v>495</v>
      </c>
      <c r="K39" s="26">
        <v>0</v>
      </c>
      <c r="L39" s="26">
        <v>0</v>
      </c>
      <c r="M39" s="26">
        <v>0</v>
      </c>
      <c r="N39" s="26"/>
      <c r="O39" s="26"/>
      <c r="P39" s="26"/>
      <c r="Q39" s="26"/>
      <c r="R39" s="26">
        <v>0</v>
      </c>
      <c r="S39" s="26">
        <v>0</v>
      </c>
      <c r="T39" s="26">
        <v>0</v>
      </c>
      <c r="U39" s="26"/>
      <c r="V39" s="26">
        <v>0</v>
      </c>
      <c r="W39" s="26"/>
      <c r="X39" s="26"/>
      <c r="Y39" s="26"/>
      <c r="Z39" s="26">
        <v>0</v>
      </c>
      <c r="AA39" s="26">
        <v>0</v>
      </c>
      <c r="AB39" s="26"/>
      <c r="AC39" s="26">
        <v>0</v>
      </c>
      <c r="AD39" s="26">
        <v>0</v>
      </c>
      <c r="AE39" s="26">
        <v>0</v>
      </c>
      <c r="AF39" s="26">
        <v>0</v>
      </c>
      <c r="AG39" s="26"/>
      <c r="AH39" s="26">
        <v>0</v>
      </c>
      <c r="AI39" s="26">
        <v>0</v>
      </c>
      <c r="AJ39" s="26"/>
      <c r="AK39" s="26">
        <v>0</v>
      </c>
      <c r="AL39" s="26"/>
      <c r="AM39" s="26">
        <v>0</v>
      </c>
      <c r="AN39" s="26"/>
      <c r="AO39" s="26">
        <v>0</v>
      </c>
      <c r="AP39" s="26">
        <v>0</v>
      </c>
      <c r="AQ39" s="26">
        <v>0</v>
      </c>
      <c r="AR39" s="26"/>
      <c r="AS39" s="26">
        <v>5054.47</v>
      </c>
      <c r="AT39" s="30">
        <f t="shared" si="2"/>
        <v>9599.4700000000012</v>
      </c>
      <c r="AU39" s="23">
        <f t="shared" si="3"/>
        <v>3.4711254326725552E-3</v>
      </c>
    </row>
    <row r="40" spans="1:48" x14ac:dyDescent="0.2">
      <c r="A40" s="2" t="s">
        <v>62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/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/>
      <c r="O40" s="26"/>
      <c r="P40" s="26"/>
      <c r="Q40" s="26"/>
      <c r="R40" s="26">
        <v>0</v>
      </c>
      <c r="S40" s="26">
        <v>0</v>
      </c>
      <c r="T40" s="26">
        <v>0</v>
      </c>
      <c r="U40" s="26"/>
      <c r="V40" s="26">
        <v>0</v>
      </c>
      <c r="W40" s="26"/>
      <c r="X40" s="26"/>
      <c r="Y40" s="26"/>
      <c r="Z40" s="26">
        <v>0</v>
      </c>
      <c r="AA40" s="26">
        <v>0</v>
      </c>
      <c r="AB40" s="26"/>
      <c r="AC40" s="26">
        <v>0</v>
      </c>
      <c r="AD40" s="26">
        <v>0</v>
      </c>
      <c r="AE40" s="26">
        <v>0</v>
      </c>
      <c r="AF40" s="26">
        <v>0</v>
      </c>
      <c r="AG40" s="26"/>
      <c r="AH40" s="26">
        <v>0</v>
      </c>
      <c r="AI40" s="26">
        <v>0</v>
      </c>
      <c r="AJ40" s="26"/>
      <c r="AK40" s="26">
        <v>0</v>
      </c>
      <c r="AL40" s="26"/>
      <c r="AM40" s="26">
        <v>0</v>
      </c>
      <c r="AN40" s="26"/>
      <c r="AO40" s="26">
        <v>0</v>
      </c>
      <c r="AP40" s="26">
        <v>0</v>
      </c>
      <c r="AQ40" s="26">
        <v>0</v>
      </c>
      <c r="AR40" s="26"/>
      <c r="AS40" s="26">
        <v>565000</v>
      </c>
      <c r="AT40" s="30">
        <f t="shared" si="2"/>
        <v>565000</v>
      </c>
      <c r="AU40" s="23">
        <f t="shared" si="3"/>
        <v>0.2043014738792864</v>
      </c>
      <c r="AV40" s="2" t="s">
        <v>68</v>
      </c>
    </row>
    <row r="41" spans="1:48" x14ac:dyDescent="0.2">
      <c r="A41" s="2" t="s">
        <v>63</v>
      </c>
      <c r="B41" s="26">
        <v>0</v>
      </c>
      <c r="C41" s="26">
        <v>0</v>
      </c>
      <c r="D41" s="26">
        <v>0</v>
      </c>
      <c r="E41" s="26">
        <v>0</v>
      </c>
      <c r="F41" s="26">
        <v>0</v>
      </c>
      <c r="G41" s="26">
        <v>0</v>
      </c>
      <c r="H41" s="26"/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/>
      <c r="O41" s="26"/>
      <c r="P41" s="26"/>
      <c r="Q41" s="26"/>
      <c r="R41" s="26">
        <v>0</v>
      </c>
      <c r="S41" s="26">
        <v>0</v>
      </c>
      <c r="T41" s="26">
        <v>0</v>
      </c>
      <c r="U41" s="26"/>
      <c r="V41" s="26">
        <v>0</v>
      </c>
      <c r="W41" s="26"/>
      <c r="X41" s="26"/>
      <c r="Y41" s="26"/>
      <c r="Z41" s="26">
        <v>0</v>
      </c>
      <c r="AA41" s="26">
        <v>0</v>
      </c>
      <c r="AB41" s="26"/>
      <c r="AC41" s="26">
        <v>0</v>
      </c>
      <c r="AD41" s="26">
        <v>0</v>
      </c>
      <c r="AE41" s="26">
        <v>0</v>
      </c>
      <c r="AF41" s="26">
        <v>0</v>
      </c>
      <c r="AG41" s="26"/>
      <c r="AH41" s="26">
        <v>0</v>
      </c>
      <c r="AI41" s="26">
        <v>0</v>
      </c>
      <c r="AJ41" s="26"/>
      <c r="AK41" s="26">
        <v>0</v>
      </c>
      <c r="AL41" s="26"/>
      <c r="AM41" s="26">
        <v>0</v>
      </c>
      <c r="AN41" s="26"/>
      <c r="AO41" s="26">
        <v>0</v>
      </c>
      <c r="AP41" s="26">
        <v>0</v>
      </c>
      <c r="AQ41" s="26">
        <v>0</v>
      </c>
      <c r="AR41" s="26"/>
      <c r="AS41" s="26">
        <v>944.07</v>
      </c>
      <c r="AT41" s="30">
        <f t="shared" si="2"/>
        <v>944.07</v>
      </c>
      <c r="AU41" s="23">
        <f t="shared" si="3"/>
        <v>3.4137149105348307E-4</v>
      </c>
    </row>
    <row r="42" spans="1:48" x14ac:dyDescent="0.2">
      <c r="A42" s="2" t="s">
        <v>81</v>
      </c>
      <c r="B42" s="26">
        <v>42.589999999999975</v>
      </c>
      <c r="C42" s="26">
        <v>142.11000000000001</v>
      </c>
      <c r="D42" s="26">
        <v>102.85000000000002</v>
      </c>
      <c r="E42" s="26">
        <v>239.25</v>
      </c>
      <c r="F42" s="26">
        <v>0</v>
      </c>
      <c r="G42" s="26">
        <v>118.67999999999995</v>
      </c>
      <c r="H42" s="26"/>
      <c r="I42" s="26">
        <v>77.929999999999978</v>
      </c>
      <c r="J42" s="26">
        <v>66.729999999999961</v>
      </c>
      <c r="K42" s="26">
        <v>0</v>
      </c>
      <c r="L42" s="26">
        <v>120.52999999999997</v>
      </c>
      <c r="M42" s="26">
        <v>92.700000000000045</v>
      </c>
      <c r="N42" s="26"/>
      <c r="O42" s="26"/>
      <c r="P42" s="26"/>
      <c r="Q42" s="26"/>
      <c r="R42" s="26">
        <v>66.730000000000018</v>
      </c>
      <c r="S42" s="26">
        <v>130.26999999999998</v>
      </c>
      <c r="T42" s="26">
        <v>92.700000000000045</v>
      </c>
      <c r="U42" s="26"/>
      <c r="V42" s="26">
        <v>9.7400000000000091</v>
      </c>
      <c r="W42" s="26"/>
      <c r="X42" s="26"/>
      <c r="Y42" s="26"/>
      <c r="Z42" s="26">
        <v>94.54000000000002</v>
      </c>
      <c r="AA42" s="26">
        <v>157.33999999999992</v>
      </c>
      <c r="AB42" s="26"/>
      <c r="AC42" s="26">
        <v>147.60000000000002</v>
      </c>
      <c r="AD42" s="26">
        <v>59.860000000000014</v>
      </c>
      <c r="AE42" s="26">
        <v>0</v>
      </c>
      <c r="AF42" s="26">
        <v>94.539999999999964</v>
      </c>
      <c r="AG42" s="26"/>
      <c r="AH42" s="26">
        <v>146.08999999999992</v>
      </c>
      <c r="AI42" s="26">
        <v>118.68000000000006</v>
      </c>
      <c r="AJ42" s="26"/>
      <c r="AK42" s="26">
        <v>104.69</v>
      </c>
      <c r="AL42" s="26"/>
      <c r="AM42" s="26">
        <v>0</v>
      </c>
      <c r="AN42" s="26"/>
      <c r="AO42" s="26">
        <v>137.43999999999994</v>
      </c>
      <c r="AP42" s="26">
        <v>0</v>
      </c>
      <c r="AQ42" s="26">
        <v>0</v>
      </c>
      <c r="AR42" s="26"/>
      <c r="AS42" s="26">
        <v>207.82</v>
      </c>
      <c r="AT42" s="30">
        <f t="shared" si="2"/>
        <v>2571.4100000000003</v>
      </c>
      <c r="AU42" s="23">
        <f t="shared" si="3"/>
        <v>9.2981035919988662E-4</v>
      </c>
    </row>
    <row r="43" spans="1:48" x14ac:dyDescent="0.2">
      <c r="A43" s="2" t="s">
        <v>64</v>
      </c>
      <c r="B43" s="26">
        <v>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/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/>
      <c r="O43" s="26"/>
      <c r="P43" s="26"/>
      <c r="Q43" s="26"/>
      <c r="R43" s="26">
        <v>0</v>
      </c>
      <c r="S43" s="26">
        <v>0</v>
      </c>
      <c r="T43" s="26">
        <v>0</v>
      </c>
      <c r="U43" s="26"/>
      <c r="V43" s="26">
        <v>0</v>
      </c>
      <c r="W43" s="26"/>
      <c r="X43" s="26"/>
      <c r="Y43" s="26"/>
      <c r="Z43" s="26">
        <v>0</v>
      </c>
      <c r="AA43" s="26">
        <v>0</v>
      </c>
      <c r="AB43" s="26"/>
      <c r="AC43" s="26">
        <v>0</v>
      </c>
      <c r="AD43" s="26">
        <v>0</v>
      </c>
      <c r="AE43" s="26">
        <v>0</v>
      </c>
      <c r="AF43" s="26">
        <v>0</v>
      </c>
      <c r="AG43" s="26"/>
      <c r="AH43" s="26">
        <v>0</v>
      </c>
      <c r="AI43" s="26">
        <v>0</v>
      </c>
      <c r="AJ43" s="26"/>
      <c r="AK43" s="26">
        <v>0</v>
      </c>
      <c r="AL43" s="26"/>
      <c r="AM43" s="26">
        <v>0</v>
      </c>
      <c r="AN43" s="26"/>
      <c r="AO43" s="26">
        <v>0</v>
      </c>
      <c r="AP43" s="26">
        <v>0</v>
      </c>
      <c r="AQ43" s="26">
        <v>0</v>
      </c>
      <c r="AR43" s="26"/>
      <c r="AS43" s="26">
        <v>77801.009999999995</v>
      </c>
      <c r="AT43" s="30">
        <f t="shared" si="2"/>
        <v>77801.009999999995</v>
      </c>
      <c r="AU43" s="23">
        <f t="shared" si="3"/>
        <v>2.8132497366897522E-2</v>
      </c>
    </row>
    <row r="44" spans="1:48" x14ac:dyDescent="0.2">
      <c r="A44" s="2" t="s">
        <v>66</v>
      </c>
      <c r="B44" s="26">
        <v>60</v>
      </c>
      <c r="C44" s="26">
        <v>0</v>
      </c>
      <c r="D44" s="26">
        <v>0</v>
      </c>
      <c r="E44" s="26">
        <v>0</v>
      </c>
      <c r="F44" s="26">
        <v>40</v>
      </c>
      <c r="G44" s="26">
        <v>0</v>
      </c>
      <c r="H44" s="26"/>
      <c r="I44" s="26">
        <v>0</v>
      </c>
      <c r="J44" s="26">
        <v>300</v>
      </c>
      <c r="K44" s="26">
        <v>0</v>
      </c>
      <c r="L44" s="26">
        <v>50</v>
      </c>
      <c r="M44" s="26">
        <v>0</v>
      </c>
      <c r="N44" s="26"/>
      <c r="O44" s="26"/>
      <c r="P44" s="26"/>
      <c r="Q44" s="26"/>
      <c r="R44" s="26">
        <v>0</v>
      </c>
      <c r="S44" s="26">
        <v>0</v>
      </c>
      <c r="T44" s="26">
        <v>0</v>
      </c>
      <c r="U44" s="26"/>
      <c r="V44" s="26">
        <v>0</v>
      </c>
      <c r="W44" s="26"/>
      <c r="X44" s="26"/>
      <c r="Y44" s="26"/>
      <c r="Z44" s="26">
        <v>0</v>
      </c>
      <c r="AA44" s="26">
        <v>0</v>
      </c>
      <c r="AB44" s="26"/>
      <c r="AC44" s="26">
        <v>0</v>
      </c>
      <c r="AD44" s="26">
        <v>0</v>
      </c>
      <c r="AE44" s="26">
        <v>0</v>
      </c>
      <c r="AF44" s="26">
        <v>0</v>
      </c>
      <c r="AG44" s="26"/>
      <c r="AH44" s="26">
        <v>0</v>
      </c>
      <c r="AI44" s="26">
        <v>0</v>
      </c>
      <c r="AJ44" s="26"/>
      <c r="AK44" s="26">
        <v>0</v>
      </c>
      <c r="AL44" s="26"/>
      <c r="AM44" s="26"/>
      <c r="AN44" s="26"/>
      <c r="AO44" s="26">
        <v>0</v>
      </c>
      <c r="AP44" s="26">
        <v>997</v>
      </c>
      <c r="AQ44" s="26">
        <v>0</v>
      </c>
      <c r="AR44" s="26"/>
      <c r="AS44" s="26">
        <v>15883.74</v>
      </c>
      <c r="AT44" s="30">
        <f t="shared" si="2"/>
        <v>17330.739999999998</v>
      </c>
      <c r="AU44" s="23">
        <f t="shared" si="3"/>
        <v>6.2667180980862016E-3</v>
      </c>
    </row>
    <row r="45" spans="1:48" ht="12.75" thickBot="1" x14ac:dyDescent="0.25">
      <c r="A45" s="14" t="s">
        <v>67</v>
      </c>
      <c r="B45" s="27">
        <f>SUM(B15:B44)</f>
        <v>159839.77000000002</v>
      </c>
      <c r="C45" s="27">
        <f t="shared" ref="C45:AS45" si="4">SUM(C15:C44)</f>
        <v>4257.2199999999993</v>
      </c>
      <c r="D45" s="27">
        <f t="shared" si="4"/>
        <v>37738.709999999985</v>
      </c>
      <c r="E45" s="27">
        <f t="shared" si="4"/>
        <v>57323.17</v>
      </c>
      <c r="F45" s="27">
        <f t="shared" si="4"/>
        <v>147545.61000000002</v>
      </c>
      <c r="G45" s="27">
        <f t="shared" si="4"/>
        <v>38878.820000000007</v>
      </c>
      <c r="H45" s="27">
        <f t="shared" si="4"/>
        <v>0</v>
      </c>
      <c r="I45" s="27">
        <f t="shared" si="4"/>
        <v>262062.24999999994</v>
      </c>
      <c r="J45" s="27">
        <f t="shared" si="4"/>
        <v>97693.059999999983</v>
      </c>
      <c r="K45" s="27">
        <f t="shared" si="4"/>
        <v>11514.64</v>
      </c>
      <c r="L45" s="27">
        <f t="shared" si="4"/>
        <v>51923.119999999981</v>
      </c>
      <c r="M45" s="27">
        <f t="shared" si="4"/>
        <v>36565.079999999994</v>
      </c>
      <c r="N45" s="27">
        <f t="shared" si="4"/>
        <v>0</v>
      </c>
      <c r="O45" s="27">
        <f t="shared" si="4"/>
        <v>0</v>
      </c>
      <c r="P45" s="27">
        <f t="shared" si="4"/>
        <v>0</v>
      </c>
      <c r="Q45" s="27">
        <f t="shared" si="4"/>
        <v>0</v>
      </c>
      <c r="R45" s="27">
        <f t="shared" si="4"/>
        <v>54804.899999999965</v>
      </c>
      <c r="S45" s="27">
        <f t="shared" si="4"/>
        <v>61340.380000000019</v>
      </c>
      <c r="T45" s="27">
        <f t="shared" si="4"/>
        <v>28871.669999999991</v>
      </c>
      <c r="U45" s="27">
        <f t="shared" si="4"/>
        <v>0</v>
      </c>
      <c r="V45" s="27">
        <f t="shared" si="4"/>
        <v>35490.46</v>
      </c>
      <c r="W45" s="27">
        <f t="shared" si="4"/>
        <v>0</v>
      </c>
      <c r="X45" s="27">
        <f t="shared" si="4"/>
        <v>0</v>
      </c>
      <c r="Y45" s="27">
        <f t="shared" si="4"/>
        <v>0</v>
      </c>
      <c r="Z45" s="27">
        <f t="shared" si="4"/>
        <v>22469.47</v>
      </c>
      <c r="AA45" s="27">
        <f t="shared" si="4"/>
        <v>26353.73</v>
      </c>
      <c r="AB45" s="27">
        <f t="shared" si="4"/>
        <v>0</v>
      </c>
      <c r="AC45" s="27">
        <f t="shared" si="4"/>
        <v>45277.069999999971</v>
      </c>
      <c r="AD45" s="27">
        <f t="shared" si="4"/>
        <v>23505.889999999992</v>
      </c>
      <c r="AE45" s="27">
        <f t="shared" si="4"/>
        <v>13245.14</v>
      </c>
      <c r="AF45" s="27">
        <f t="shared" si="4"/>
        <v>58504.350000000006</v>
      </c>
      <c r="AG45" s="27">
        <f t="shared" si="4"/>
        <v>0</v>
      </c>
      <c r="AH45" s="27">
        <f t="shared" si="4"/>
        <v>143440.60999999996</v>
      </c>
      <c r="AI45" s="27">
        <f t="shared" si="4"/>
        <v>18100.060000000012</v>
      </c>
      <c r="AJ45" s="27">
        <f t="shared" si="4"/>
        <v>0</v>
      </c>
      <c r="AK45" s="27">
        <f t="shared" si="4"/>
        <v>37339.47</v>
      </c>
      <c r="AL45" s="27">
        <f>SUM(AL15:AL44)</f>
        <v>0</v>
      </c>
      <c r="AM45" s="27">
        <f>SUM(AM15:AM44)</f>
        <v>23593.14000000001</v>
      </c>
      <c r="AN45" s="27">
        <f t="shared" ref="AN45:AR45" si="5">SUM(AN15:AN44)</f>
        <v>0</v>
      </c>
      <c r="AO45" s="27">
        <f t="shared" si="5"/>
        <v>11923.49</v>
      </c>
      <c r="AP45" s="27">
        <f t="shared" si="5"/>
        <v>94237.519999999931</v>
      </c>
      <c r="AQ45" s="27">
        <f t="shared" si="5"/>
        <v>12072.679999999998</v>
      </c>
      <c r="AR45" s="27">
        <f t="shared" si="5"/>
        <v>0</v>
      </c>
      <c r="AS45" s="27">
        <f t="shared" si="4"/>
        <v>1149609.4400000002</v>
      </c>
      <c r="AT45" s="27">
        <f>SUM(AT15:AT44)</f>
        <v>2765520.9199999995</v>
      </c>
      <c r="AU45" s="10">
        <f>SUM(AU15:AU44)</f>
        <v>1</v>
      </c>
      <c r="AV45" s="53"/>
    </row>
    <row r="46" spans="1:48" ht="12.75" thickTop="1" x14ac:dyDescent="0.2">
      <c r="D46" s="2" t="s">
        <v>68</v>
      </c>
      <c r="E46" s="2" t="s">
        <v>68</v>
      </c>
      <c r="F46" s="2" t="s">
        <v>68</v>
      </c>
      <c r="G46" s="2" t="s">
        <v>68</v>
      </c>
      <c r="H46" s="2" t="s">
        <v>68</v>
      </c>
      <c r="I46" s="2" t="s">
        <v>68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68</v>
      </c>
      <c r="Q46" s="2" t="s">
        <v>68</v>
      </c>
      <c r="R46" s="2" t="s">
        <v>68</v>
      </c>
      <c r="S46" s="2" t="s">
        <v>68</v>
      </c>
      <c r="AT46" s="29" t="s">
        <v>68</v>
      </c>
    </row>
    <row r="47" spans="1:48" ht="12.75" thickBot="1" x14ac:dyDescent="0.25">
      <c r="A47" s="14" t="s">
        <v>69</v>
      </c>
      <c r="B47" s="14">
        <f>+B13-B45</f>
        <v>153160.22999999998</v>
      </c>
      <c r="C47" s="14">
        <f t="shared" ref="C47:Z47" si="6">+C13-C45</f>
        <v>101242.78</v>
      </c>
      <c r="D47" s="14">
        <f t="shared" si="6"/>
        <v>19011.290000000015</v>
      </c>
      <c r="E47" s="14">
        <f t="shared" si="6"/>
        <v>31326.83</v>
      </c>
      <c r="F47" s="14">
        <f t="shared" si="6"/>
        <v>125354.38999999998</v>
      </c>
      <c r="G47" s="14">
        <f>+G13-G45</f>
        <v>19871.179999999993</v>
      </c>
      <c r="H47" s="14">
        <f t="shared" si="6"/>
        <v>0</v>
      </c>
      <c r="I47" s="14">
        <f t="shared" si="6"/>
        <v>202837.75000000006</v>
      </c>
      <c r="J47" s="14">
        <f t="shared" si="6"/>
        <v>90044.079999999914</v>
      </c>
      <c r="K47" s="14">
        <f t="shared" si="6"/>
        <v>7485.3600000000006</v>
      </c>
      <c r="L47" s="14">
        <f t="shared" si="6"/>
        <v>36376.880000000019</v>
      </c>
      <c r="M47" s="14">
        <f t="shared" si="6"/>
        <v>38634.920000000006</v>
      </c>
      <c r="N47" s="14">
        <f t="shared" si="6"/>
        <v>0</v>
      </c>
      <c r="O47" s="14">
        <f t="shared" si="6"/>
        <v>0</v>
      </c>
      <c r="P47" s="14">
        <f t="shared" si="6"/>
        <v>0</v>
      </c>
      <c r="Q47" s="14">
        <f t="shared" si="6"/>
        <v>0</v>
      </c>
      <c r="R47" s="14">
        <f t="shared" si="6"/>
        <v>42945.100000000035</v>
      </c>
      <c r="S47" s="14">
        <f t="shared" si="6"/>
        <v>36909.619999999981</v>
      </c>
      <c r="T47" s="14">
        <f t="shared" si="6"/>
        <v>26878.330000000009</v>
      </c>
      <c r="U47" s="14">
        <f t="shared" si="6"/>
        <v>0</v>
      </c>
      <c r="V47" s="14">
        <f t="shared" si="6"/>
        <v>18509.54</v>
      </c>
      <c r="W47" s="14">
        <f t="shared" si="6"/>
        <v>0</v>
      </c>
      <c r="X47" s="14">
        <f t="shared" si="6"/>
        <v>0</v>
      </c>
      <c r="Y47" s="14">
        <f>+Y13-Y45</f>
        <v>0</v>
      </c>
      <c r="Z47" s="14">
        <f t="shared" si="6"/>
        <v>13530.529999999999</v>
      </c>
      <c r="AA47" s="14">
        <f>+AA13-AA45</f>
        <v>11646.27</v>
      </c>
      <c r="AB47" s="14">
        <f>+AB13-AB45</f>
        <v>0</v>
      </c>
      <c r="AC47" s="14">
        <f>+AC13-AC45</f>
        <v>41222.930000000029</v>
      </c>
      <c r="AD47" s="14">
        <f>+AD13-AD45</f>
        <v>-4505.8899999999921</v>
      </c>
      <c r="AE47" s="14">
        <f t="shared" ref="AE47:AJ47" si="7">+AE13-AE45</f>
        <v>6254.8600000000006</v>
      </c>
      <c r="AF47" s="14">
        <f t="shared" si="7"/>
        <v>25995.649999999994</v>
      </c>
      <c r="AG47" s="14">
        <f t="shared" si="7"/>
        <v>0</v>
      </c>
      <c r="AH47" s="14">
        <f t="shared" si="7"/>
        <v>109059.39000000004</v>
      </c>
      <c r="AI47" s="14">
        <f t="shared" si="7"/>
        <v>37649.939999999988</v>
      </c>
      <c r="AJ47" s="14">
        <f t="shared" si="7"/>
        <v>0</v>
      </c>
      <c r="AK47" s="14">
        <f>+AK13-AK45</f>
        <v>19860.53</v>
      </c>
      <c r="AL47" s="14">
        <f>+AL13-AL45</f>
        <v>0</v>
      </c>
      <c r="AM47" s="14">
        <f>+AM13-AM45</f>
        <v>17406.85999999999</v>
      </c>
      <c r="AN47" s="14">
        <f t="shared" ref="AN47:AS47" si="8">+AN13-AN45</f>
        <v>0</v>
      </c>
      <c r="AO47" s="14">
        <f t="shared" si="8"/>
        <v>6576.51</v>
      </c>
      <c r="AP47" s="14">
        <f t="shared" si="8"/>
        <v>137762.48000000007</v>
      </c>
      <c r="AQ47" s="14">
        <f t="shared" si="8"/>
        <v>6627.3200000000015</v>
      </c>
      <c r="AR47" s="14">
        <f t="shared" si="8"/>
        <v>16450</v>
      </c>
      <c r="AS47" s="14">
        <f t="shared" si="8"/>
        <v>-1149609.4400000002</v>
      </c>
      <c r="AT47" s="14">
        <f>SUM(B47:AS47)</f>
        <v>246516.2200000002</v>
      </c>
      <c r="AU47" s="39"/>
    </row>
    <row r="48" spans="1:48" ht="12.75" thickTop="1" x14ac:dyDescent="0.2"/>
    <row r="49" spans="1:48" x14ac:dyDescent="0.2">
      <c r="A49" s="2" t="s">
        <v>70</v>
      </c>
      <c r="B49" s="2">
        <f>43070+19200</f>
        <v>62270</v>
      </c>
      <c r="C49" s="2">
        <f>20550+14700</f>
        <v>35250</v>
      </c>
      <c r="D49" s="2">
        <v>3750</v>
      </c>
      <c r="E49" s="2">
        <v>3900</v>
      </c>
      <c r="F49" s="2">
        <f>34050+16800</f>
        <v>50850</v>
      </c>
      <c r="G49" s="2">
        <v>2350</v>
      </c>
      <c r="H49" s="2">
        <v>350</v>
      </c>
      <c r="I49" s="2">
        <f>55005+6900</f>
        <v>61905</v>
      </c>
      <c r="J49" s="2">
        <f>24203.62+15300</f>
        <v>39503.619999999995</v>
      </c>
      <c r="L49" s="2">
        <f>8760+6300</f>
        <v>15060</v>
      </c>
      <c r="M49" s="2">
        <f>5250+600</f>
        <v>5850</v>
      </c>
      <c r="R49" s="2">
        <f>10250+3300</f>
        <v>13550</v>
      </c>
      <c r="S49" s="2">
        <f>9150+900</f>
        <v>10050</v>
      </c>
      <c r="T49" s="2">
        <v>11400</v>
      </c>
      <c r="V49" s="2">
        <f>1050+300</f>
        <v>1350</v>
      </c>
      <c r="Z49" s="2">
        <f>700+300</f>
        <v>1000</v>
      </c>
      <c r="AA49" s="2">
        <v>700</v>
      </c>
      <c r="AC49" s="2">
        <f>9100+600+300</f>
        <v>10000</v>
      </c>
      <c r="AD49" s="2">
        <v>1500</v>
      </c>
      <c r="AE49" s="2">
        <v>4480</v>
      </c>
      <c r="AF49" s="2">
        <f>6075+3000</f>
        <v>9075</v>
      </c>
      <c r="AH49" s="2">
        <f>26870+8100</f>
        <v>34970</v>
      </c>
      <c r="AI49" s="2">
        <f>10900+1500+1200</f>
        <v>13600</v>
      </c>
      <c r="AK49" s="2">
        <v>2850</v>
      </c>
      <c r="AM49" s="2">
        <v>2600</v>
      </c>
      <c r="AO49" s="2">
        <v>500</v>
      </c>
      <c r="AP49" s="2">
        <f>31043.32+29400</f>
        <v>60443.32</v>
      </c>
      <c r="AQ49" s="2">
        <v>1300</v>
      </c>
      <c r="AR49" s="2">
        <f>350+600</f>
        <v>950</v>
      </c>
      <c r="AS49" s="2">
        <v>13987.5</v>
      </c>
      <c r="AT49" s="29">
        <f>SUM(B49:AS49)</f>
        <v>475344.44</v>
      </c>
      <c r="AU49" s="2"/>
    </row>
    <row r="50" spans="1:48" s="25" customFormat="1" x14ac:dyDescent="0.2">
      <c r="A50" s="37" t="s">
        <v>71</v>
      </c>
      <c r="B50" s="37">
        <f>+B47-B49</f>
        <v>90890.229999999981</v>
      </c>
      <c r="C50" s="37">
        <f t="shared" ref="C50:AS50" si="9">+C47-C49</f>
        <v>65992.78</v>
      </c>
      <c r="D50" s="37">
        <f t="shared" si="9"/>
        <v>15261.290000000015</v>
      </c>
      <c r="E50" s="37">
        <f t="shared" si="9"/>
        <v>27426.83</v>
      </c>
      <c r="F50" s="37">
        <f t="shared" si="9"/>
        <v>74504.389999999985</v>
      </c>
      <c r="G50" s="37">
        <f t="shared" si="9"/>
        <v>17521.179999999993</v>
      </c>
      <c r="H50" s="37">
        <f t="shared" si="9"/>
        <v>-350</v>
      </c>
      <c r="I50" s="37">
        <f>+I47-I49</f>
        <v>140932.75000000006</v>
      </c>
      <c r="J50" s="37">
        <f t="shared" si="9"/>
        <v>50540.459999999919</v>
      </c>
      <c r="K50" s="37">
        <f t="shared" si="9"/>
        <v>7485.3600000000006</v>
      </c>
      <c r="L50" s="37">
        <f t="shared" si="9"/>
        <v>21316.880000000019</v>
      </c>
      <c r="M50" s="37">
        <f t="shared" si="9"/>
        <v>32784.920000000006</v>
      </c>
      <c r="N50" s="37">
        <f t="shared" si="9"/>
        <v>0</v>
      </c>
      <c r="O50" s="37">
        <f t="shared" si="9"/>
        <v>0</v>
      </c>
      <c r="P50" s="37">
        <f t="shared" si="9"/>
        <v>0</v>
      </c>
      <c r="Q50" s="37">
        <f t="shared" si="9"/>
        <v>0</v>
      </c>
      <c r="R50" s="37">
        <f t="shared" si="9"/>
        <v>29395.100000000035</v>
      </c>
      <c r="S50" s="37">
        <f t="shared" si="9"/>
        <v>26859.619999999981</v>
      </c>
      <c r="T50" s="37">
        <f t="shared" si="9"/>
        <v>15478.330000000009</v>
      </c>
      <c r="U50" s="37">
        <f t="shared" si="9"/>
        <v>0</v>
      </c>
      <c r="V50" s="37">
        <f t="shared" si="9"/>
        <v>17159.54</v>
      </c>
      <c r="W50" s="37">
        <f t="shared" si="9"/>
        <v>0</v>
      </c>
      <c r="X50" s="37">
        <f t="shared" si="9"/>
        <v>0</v>
      </c>
      <c r="Y50" s="37">
        <f t="shared" si="9"/>
        <v>0</v>
      </c>
      <c r="Z50" s="37">
        <f t="shared" si="9"/>
        <v>12530.529999999999</v>
      </c>
      <c r="AA50" s="37">
        <f t="shared" si="9"/>
        <v>10946.27</v>
      </c>
      <c r="AB50" s="37">
        <f t="shared" si="9"/>
        <v>0</v>
      </c>
      <c r="AC50" s="37">
        <f t="shared" si="9"/>
        <v>31222.930000000029</v>
      </c>
      <c r="AD50" s="37">
        <f t="shared" si="9"/>
        <v>-6005.8899999999921</v>
      </c>
      <c r="AE50" s="37">
        <f t="shared" si="9"/>
        <v>1774.8600000000006</v>
      </c>
      <c r="AF50" s="37">
        <f t="shared" si="9"/>
        <v>16920.649999999994</v>
      </c>
      <c r="AG50" s="37">
        <f t="shared" si="9"/>
        <v>0</v>
      </c>
      <c r="AH50" s="37">
        <f t="shared" si="9"/>
        <v>74089.390000000043</v>
      </c>
      <c r="AI50" s="37">
        <f t="shared" si="9"/>
        <v>24049.939999999988</v>
      </c>
      <c r="AJ50" s="37">
        <f t="shared" si="9"/>
        <v>0</v>
      </c>
      <c r="AK50" s="37">
        <f t="shared" si="9"/>
        <v>17010.53</v>
      </c>
      <c r="AL50" s="37">
        <f t="shared" si="9"/>
        <v>0</v>
      </c>
      <c r="AM50" s="37">
        <f t="shared" si="9"/>
        <v>14806.85999999999</v>
      </c>
      <c r="AN50" s="37">
        <f t="shared" si="9"/>
        <v>0</v>
      </c>
      <c r="AO50" s="37">
        <f t="shared" si="9"/>
        <v>6076.51</v>
      </c>
      <c r="AP50" s="37">
        <f t="shared" si="9"/>
        <v>77319.160000000062</v>
      </c>
      <c r="AQ50" s="37">
        <f t="shared" si="9"/>
        <v>5327.3200000000015</v>
      </c>
      <c r="AR50" s="37">
        <f t="shared" si="9"/>
        <v>15500</v>
      </c>
      <c r="AS50" s="37">
        <f t="shared" si="9"/>
        <v>-1163596.9400000002</v>
      </c>
      <c r="AT50" s="38">
        <f>SUM(B50:AS50)-AT53-AT54-AT55+AT56</f>
        <v>155553.44119999977</v>
      </c>
      <c r="AU50" s="40"/>
    </row>
    <row r="51" spans="1:48" x14ac:dyDescent="0.2">
      <c r="AT51" s="18">
        <v>155553.24</v>
      </c>
      <c r="AU51" s="28" t="s">
        <v>72</v>
      </c>
      <c r="AV51" s="2" t="s">
        <v>106</v>
      </c>
    </row>
    <row r="52" spans="1:48" x14ac:dyDescent="0.2">
      <c r="AT52" s="47">
        <f>+AT50-AT51</f>
        <v>0.20119999977760017</v>
      </c>
      <c r="AU52" s="48" t="s">
        <v>82</v>
      </c>
    </row>
    <row r="53" spans="1:48" x14ac:dyDescent="0.2">
      <c r="A53" s="45" t="s">
        <v>78</v>
      </c>
      <c r="B53" s="45"/>
      <c r="C53" s="45"/>
      <c r="D53" s="45"/>
      <c r="E53" s="45">
        <f>+E50*8.5%</f>
        <v>2331.2805500000004</v>
      </c>
      <c r="F53" s="45"/>
      <c r="G53" s="45">
        <f>+G50*8.5%</f>
        <v>1489.3002999999994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>
        <f>+V50*8.5%</f>
        <v>1458.5609000000002</v>
      </c>
      <c r="W53" s="45">
        <f>+W50*8.5%</f>
        <v>0</v>
      </c>
      <c r="X53" s="45"/>
      <c r="Y53" s="45">
        <f>+Y50*8.5%</f>
        <v>0</v>
      </c>
      <c r="Z53" s="45">
        <f>+Z50*8.5%</f>
        <v>1065.0950499999999</v>
      </c>
      <c r="AA53" s="45">
        <f>+AA50*8.5%</f>
        <v>930.43295000000012</v>
      </c>
      <c r="AB53" s="45"/>
      <c r="AC53" s="45">
        <f>(AC50-AC54)*8.5%</f>
        <v>2441.4490500000029</v>
      </c>
      <c r="AD53" s="45"/>
      <c r="AE53" s="45"/>
      <c r="AF53" s="45"/>
      <c r="AG53" s="45">
        <f>+AG50*8.5%</f>
        <v>0</v>
      </c>
      <c r="AH53" s="45"/>
      <c r="AI53" s="45"/>
      <c r="AJ53" s="45">
        <f>+AJ50*8.5%</f>
        <v>0</v>
      </c>
      <c r="AK53" s="45"/>
      <c r="AL53" s="45">
        <f>+AL50*8.5%</f>
        <v>0</v>
      </c>
      <c r="AM53" s="45"/>
      <c r="AN53" s="45">
        <f>+AN50*8.5%</f>
        <v>0</v>
      </c>
      <c r="AO53" s="45"/>
      <c r="AP53" s="45"/>
      <c r="AQ53" s="45"/>
      <c r="AR53" s="45"/>
      <c r="AS53" s="45"/>
      <c r="AT53" s="46">
        <f>SUM(B53:AS53)</f>
        <v>9716.1188000000038</v>
      </c>
    </row>
    <row r="54" spans="1:48" x14ac:dyDescent="0.2">
      <c r="A54" s="45" t="s">
        <v>84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>
        <v>2500</v>
      </c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>
        <v>17302.22</v>
      </c>
      <c r="AT54" s="46">
        <f t="shared" ref="AT54:AT56" si="10">SUM(B54:AS54)</f>
        <v>19802.22</v>
      </c>
    </row>
    <row r="55" spans="1:48" s="1" customFormat="1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5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50">
        <f>160000+25000</f>
        <v>185000</v>
      </c>
      <c r="AT55" s="46">
        <f t="shared" si="10"/>
        <v>185000</v>
      </c>
    </row>
    <row r="56" spans="1:48" s="1" customFormat="1" x14ac:dyDescent="0.2">
      <c r="A56" s="49" t="s">
        <v>86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5">
        <v>598900</v>
      </c>
      <c r="AT56" s="46">
        <f t="shared" si="10"/>
        <v>598900</v>
      </c>
    </row>
    <row r="58" spans="1:48" s="1" customFormat="1" ht="12.75" x14ac:dyDescent="0.2">
      <c r="A58" s="57" t="s">
        <v>92</v>
      </c>
      <c r="B58" s="57">
        <v>15</v>
      </c>
      <c r="C58" s="57">
        <v>6</v>
      </c>
      <c r="D58" s="57">
        <v>3</v>
      </c>
      <c r="E58" s="57">
        <v>5</v>
      </c>
      <c r="F58" s="57">
        <v>14</v>
      </c>
      <c r="G58" s="57">
        <v>3</v>
      </c>
      <c r="H58" s="57"/>
      <c r="I58" s="57">
        <v>24</v>
      </c>
      <c r="J58" s="57">
        <v>11</v>
      </c>
      <c r="K58" s="57">
        <v>2</v>
      </c>
      <c r="L58" s="57">
        <v>5</v>
      </c>
      <c r="M58" s="57">
        <v>3</v>
      </c>
      <c r="N58" s="57"/>
      <c r="O58" s="57"/>
      <c r="P58" s="57"/>
      <c r="Q58" s="57"/>
      <c r="R58" s="57">
        <v>5</v>
      </c>
      <c r="S58" s="57">
        <v>4</v>
      </c>
      <c r="T58" s="57">
        <v>3</v>
      </c>
      <c r="U58" s="57"/>
      <c r="V58" s="57">
        <v>3</v>
      </c>
      <c r="W58" s="57"/>
      <c r="X58" s="57"/>
      <c r="Y58" s="57"/>
      <c r="Z58" s="57">
        <v>2</v>
      </c>
      <c r="AA58" s="57">
        <v>2</v>
      </c>
      <c r="AB58" s="57"/>
      <c r="AC58" s="57">
        <v>6</v>
      </c>
      <c r="AD58" s="57">
        <v>2</v>
      </c>
      <c r="AE58" s="57">
        <v>1</v>
      </c>
      <c r="AF58" s="57">
        <v>5</v>
      </c>
      <c r="AG58" s="57"/>
      <c r="AH58" s="57">
        <v>13</v>
      </c>
      <c r="AI58" s="57">
        <v>3</v>
      </c>
      <c r="AJ58" s="57"/>
      <c r="AK58" s="57">
        <v>3</v>
      </c>
      <c r="AL58" s="57"/>
      <c r="AM58" s="57">
        <v>3</v>
      </c>
      <c r="AN58" s="57"/>
      <c r="AO58" s="57">
        <v>1</v>
      </c>
      <c r="AP58" s="57">
        <v>12</v>
      </c>
      <c r="AQ58" s="57">
        <v>1</v>
      </c>
      <c r="AR58" s="65">
        <f>SUM(A58:AQ58)</f>
        <v>160</v>
      </c>
      <c r="AS58" s="66" t="s">
        <v>103</v>
      </c>
      <c r="AT58" s="3"/>
    </row>
    <row r="59" spans="1:48" s="1" customFormat="1" x14ac:dyDescent="0.2">
      <c r="A59" s="57" t="s">
        <v>91</v>
      </c>
      <c r="B59" s="58">
        <f>+B50/B58</f>
        <v>6059.3486666666658</v>
      </c>
      <c r="C59" s="58">
        <f t="shared" ref="C59:AQ59" si="11">+C50/C58</f>
        <v>10998.796666666667</v>
      </c>
      <c r="D59" s="58">
        <f t="shared" si="11"/>
        <v>5087.0966666666718</v>
      </c>
      <c r="E59" s="58">
        <f t="shared" si="11"/>
        <v>5485.366</v>
      </c>
      <c r="F59" s="58">
        <f t="shared" si="11"/>
        <v>5321.7421428571415</v>
      </c>
      <c r="G59" s="58">
        <f t="shared" si="11"/>
        <v>5840.3933333333307</v>
      </c>
      <c r="H59" s="58"/>
      <c r="I59" s="58">
        <f t="shared" si="11"/>
        <v>5872.1979166666688</v>
      </c>
      <c r="J59" s="58">
        <f t="shared" si="11"/>
        <v>4594.5872727272654</v>
      </c>
      <c r="K59" s="58">
        <f t="shared" si="11"/>
        <v>3742.6800000000003</v>
      </c>
      <c r="L59" s="58">
        <f t="shared" si="11"/>
        <v>4263.3760000000038</v>
      </c>
      <c r="M59" s="58">
        <f>(M50-M9)/M58</f>
        <v>3728.3066666666687</v>
      </c>
      <c r="N59" s="58"/>
      <c r="O59" s="58"/>
      <c r="P59" s="58"/>
      <c r="Q59" s="58"/>
      <c r="R59" s="58">
        <f t="shared" si="11"/>
        <v>5879.0200000000068</v>
      </c>
      <c r="S59" s="58">
        <f t="shared" si="11"/>
        <v>6714.9049999999952</v>
      </c>
      <c r="T59" s="58">
        <f t="shared" si="11"/>
        <v>5159.4433333333363</v>
      </c>
      <c r="U59" s="58"/>
      <c r="V59" s="58">
        <f t="shared" si="11"/>
        <v>5719.8466666666673</v>
      </c>
      <c r="W59" s="58"/>
      <c r="X59" s="58"/>
      <c r="Y59" s="58"/>
      <c r="Z59" s="58">
        <f t="shared" si="11"/>
        <v>6265.2649999999994</v>
      </c>
      <c r="AA59" s="58">
        <f t="shared" si="11"/>
        <v>5473.1350000000002</v>
      </c>
      <c r="AB59" s="58" t="e">
        <f t="shared" si="11"/>
        <v>#DIV/0!</v>
      </c>
      <c r="AC59" s="58">
        <f t="shared" si="11"/>
        <v>5203.8216666666713</v>
      </c>
      <c r="AD59" s="58">
        <f t="shared" si="11"/>
        <v>-3002.9449999999961</v>
      </c>
      <c r="AE59" s="58">
        <f t="shared" si="11"/>
        <v>1774.8600000000006</v>
      </c>
      <c r="AF59" s="58">
        <f t="shared" si="11"/>
        <v>3384.1299999999987</v>
      </c>
      <c r="AG59" s="58" t="e">
        <f t="shared" si="11"/>
        <v>#DIV/0!</v>
      </c>
      <c r="AH59" s="58">
        <f t="shared" si="11"/>
        <v>5699.1838461538491</v>
      </c>
      <c r="AI59" s="58">
        <f t="shared" si="11"/>
        <v>8016.6466666666629</v>
      </c>
      <c r="AJ59" s="58" t="e">
        <f t="shared" si="11"/>
        <v>#DIV/0!</v>
      </c>
      <c r="AK59" s="58">
        <f t="shared" si="11"/>
        <v>5670.1766666666663</v>
      </c>
      <c r="AL59" s="58" t="e">
        <f t="shared" si="11"/>
        <v>#DIV/0!</v>
      </c>
      <c r="AM59" s="58">
        <f t="shared" si="11"/>
        <v>4935.6199999999963</v>
      </c>
      <c r="AN59" s="58" t="e">
        <f t="shared" si="11"/>
        <v>#DIV/0!</v>
      </c>
      <c r="AO59" s="58">
        <f t="shared" si="11"/>
        <v>6076.51</v>
      </c>
      <c r="AP59" s="58">
        <f t="shared" si="11"/>
        <v>6443.2633333333388</v>
      </c>
      <c r="AQ59" s="58">
        <f t="shared" si="11"/>
        <v>5327.3200000000015</v>
      </c>
    </row>
    <row r="60" spans="1:48" s="1" customFormat="1" x14ac:dyDescent="0.2">
      <c r="N60" s="3"/>
      <c r="O60" s="3"/>
      <c r="P60" s="3"/>
      <c r="Q60" s="3"/>
      <c r="R60" s="3"/>
      <c r="S60" s="3"/>
      <c r="T60" s="3"/>
      <c r="U60" s="3"/>
    </row>
    <row r="61" spans="1:48" s="1" customFormat="1" x14ac:dyDescent="0.2">
      <c r="N61" s="3"/>
      <c r="O61" s="3"/>
      <c r="P61" s="3"/>
      <c r="Q61" s="3"/>
      <c r="R61" s="3"/>
      <c r="S61" s="3"/>
      <c r="T61" s="3"/>
      <c r="U61" s="3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8A8E-C4F5-4808-9AEE-F10B4A50A431}">
  <sheetPr>
    <tabColor rgb="FF7030A0"/>
  </sheetPr>
  <dimension ref="A2:AV61"/>
  <sheetViews>
    <sheetView workbookViewId="0">
      <pane xSplit="1" ySplit="7" topLeftCell="AD41" activePane="bottomRight" state="frozen"/>
      <selection activeCell="D53" sqref="D53"/>
      <selection pane="topRight" activeCell="D53" sqref="D53"/>
      <selection pane="bottomLeft" activeCell="D53" sqref="D53"/>
      <selection pane="bottomRight" activeCell="AP8" sqref="AP8"/>
    </sheetView>
  </sheetViews>
  <sheetFormatPr baseColWidth="10" defaultColWidth="11.42578125" defaultRowHeight="12" x14ac:dyDescent="0.2"/>
  <cols>
    <col min="1" max="7" width="11.42578125" style="55"/>
    <col min="8" max="8" width="0" style="55" hidden="1" customWidth="1"/>
    <col min="9" max="13" width="11.42578125" style="55"/>
    <col min="14" max="17" width="0" style="55" hidden="1" customWidth="1"/>
    <col min="18" max="20" width="11.42578125" style="55"/>
    <col min="21" max="21" width="0" style="55" hidden="1" customWidth="1"/>
    <col min="22" max="22" width="11.42578125" style="55"/>
    <col min="23" max="25" width="0" style="55" hidden="1" customWidth="1"/>
    <col min="26" max="27" width="11.42578125" style="55"/>
    <col min="28" max="28" width="0" style="55" hidden="1" customWidth="1"/>
    <col min="29" max="32" width="11.42578125" style="55"/>
    <col min="33" max="33" width="0" style="55" hidden="1" customWidth="1"/>
    <col min="34" max="35" width="11.42578125" style="55"/>
    <col min="36" max="36" width="0" style="55" hidden="1" customWidth="1"/>
    <col min="37" max="37" width="11.42578125" style="55"/>
    <col min="38" max="38" width="13.85546875" style="55" hidden="1" customWidth="1"/>
    <col min="39" max="43" width="13.85546875" style="55" customWidth="1"/>
    <col min="44" max="45" width="11.42578125" style="55"/>
    <col min="46" max="46" width="11.42578125" style="56"/>
    <col min="47" max="47" width="11.42578125" style="88"/>
    <col min="48" max="16384" width="11.42578125" style="55"/>
  </cols>
  <sheetData>
    <row r="2" spans="1:48" x14ac:dyDescent="0.2">
      <c r="A2" s="55" t="s">
        <v>80</v>
      </c>
    </row>
    <row r="3" spans="1:48" x14ac:dyDescent="0.2">
      <c r="A3" s="55" t="s">
        <v>0</v>
      </c>
    </row>
    <row r="6" spans="1:48" ht="36" x14ac:dyDescent="0.2">
      <c r="A6" s="73" t="s">
        <v>1</v>
      </c>
      <c r="B6" s="73" t="s">
        <v>2</v>
      </c>
      <c r="C6" s="73" t="s">
        <v>3</v>
      </c>
      <c r="D6" s="73" t="s">
        <v>97</v>
      </c>
      <c r="E6" s="73" t="s">
        <v>4</v>
      </c>
      <c r="F6" s="73" t="s">
        <v>5</v>
      </c>
      <c r="G6" s="73" t="s">
        <v>6</v>
      </c>
      <c r="H6" s="74" t="s">
        <v>104</v>
      </c>
      <c r="I6" s="73" t="s">
        <v>74</v>
      </c>
      <c r="J6" s="73" t="s">
        <v>7</v>
      </c>
      <c r="K6" s="73" t="s">
        <v>8</v>
      </c>
      <c r="L6" s="73" t="s">
        <v>9</v>
      </c>
      <c r="M6" s="73" t="s">
        <v>10</v>
      </c>
      <c r="N6" s="73" t="s">
        <v>11</v>
      </c>
      <c r="O6" s="73" t="s">
        <v>12</v>
      </c>
      <c r="P6" s="73" t="s">
        <v>13</v>
      </c>
      <c r="Q6" s="73" t="s">
        <v>14</v>
      </c>
      <c r="R6" s="73" t="s">
        <v>15</v>
      </c>
      <c r="S6" s="73" t="s">
        <v>16</v>
      </c>
      <c r="T6" s="73" t="s">
        <v>17</v>
      </c>
      <c r="U6" s="73" t="s">
        <v>18</v>
      </c>
      <c r="V6" s="74" t="s">
        <v>19</v>
      </c>
      <c r="W6" s="73"/>
      <c r="X6" s="74"/>
      <c r="Y6" s="74"/>
      <c r="Z6" s="74" t="s">
        <v>23</v>
      </c>
      <c r="AA6" s="74" t="s">
        <v>24</v>
      </c>
      <c r="AB6" s="74" t="s">
        <v>25</v>
      </c>
      <c r="AC6" s="73" t="s">
        <v>26</v>
      </c>
      <c r="AD6" s="74" t="s">
        <v>27</v>
      </c>
      <c r="AE6" s="74" t="s">
        <v>28</v>
      </c>
      <c r="AF6" s="74" t="s">
        <v>29</v>
      </c>
      <c r="AG6" s="94"/>
      <c r="AH6" s="73" t="s">
        <v>30</v>
      </c>
      <c r="AI6" s="74" t="s">
        <v>31</v>
      </c>
      <c r="AJ6" s="74" t="s">
        <v>32</v>
      </c>
      <c r="AK6" s="94" t="s">
        <v>75</v>
      </c>
      <c r="AL6" s="73"/>
      <c r="AM6" s="74" t="s">
        <v>83</v>
      </c>
      <c r="AN6" s="73" t="s">
        <v>107</v>
      </c>
      <c r="AO6" s="73" t="s">
        <v>99</v>
      </c>
      <c r="AP6" s="73" t="s">
        <v>100</v>
      </c>
      <c r="AQ6" s="73" t="s">
        <v>101</v>
      </c>
      <c r="AR6" s="74" t="s">
        <v>77</v>
      </c>
      <c r="AS6" s="74" t="s">
        <v>88</v>
      </c>
      <c r="AT6" s="73" t="s">
        <v>33</v>
      </c>
      <c r="AU6" s="95" t="s">
        <v>34</v>
      </c>
    </row>
    <row r="8" spans="1:48" x14ac:dyDescent="0.2">
      <c r="A8" s="55" t="s">
        <v>36</v>
      </c>
      <c r="B8" s="55">
        <v>313000</v>
      </c>
      <c r="C8" s="55">
        <v>105500</v>
      </c>
      <c r="D8" s="26">
        <v>56750</v>
      </c>
      <c r="E8" s="55">
        <v>110619.42000000004</v>
      </c>
      <c r="F8" s="55">
        <v>272900</v>
      </c>
      <c r="G8" s="55">
        <v>58750</v>
      </c>
      <c r="H8" s="26"/>
      <c r="I8" s="55">
        <v>464900</v>
      </c>
      <c r="J8" s="55">
        <v>186711.8600000001</v>
      </c>
      <c r="K8" s="55">
        <v>19000</v>
      </c>
      <c r="L8" s="55">
        <v>88300</v>
      </c>
      <c r="M8" s="12">
        <v>53600</v>
      </c>
      <c r="R8" s="55">
        <v>97750</v>
      </c>
      <c r="S8" s="55">
        <v>98250</v>
      </c>
      <c r="T8" s="55">
        <v>55750</v>
      </c>
      <c r="V8" s="55">
        <v>54000</v>
      </c>
      <c r="Z8" s="55">
        <v>36000</v>
      </c>
      <c r="AA8" s="55">
        <v>38000</v>
      </c>
      <c r="AC8" s="55">
        <v>86500</v>
      </c>
      <c r="AD8" s="55">
        <v>38000</v>
      </c>
      <c r="AE8" s="55">
        <v>19500</v>
      </c>
      <c r="AF8" s="55">
        <v>84500</v>
      </c>
      <c r="AH8" s="55">
        <v>271500</v>
      </c>
      <c r="AI8" s="55">
        <v>55750</v>
      </c>
      <c r="AK8" s="55">
        <v>57200</v>
      </c>
      <c r="AM8" s="55">
        <v>41000</v>
      </c>
      <c r="AO8" s="55">
        <v>18500</v>
      </c>
      <c r="AP8" s="55">
        <v>232000</v>
      </c>
      <c r="AQ8" s="55">
        <v>18700</v>
      </c>
      <c r="AT8" s="56">
        <f>SUM(B8:AS8)</f>
        <v>3032931.2800000003</v>
      </c>
      <c r="AU8" s="88">
        <f>+AT8/$AT$13</f>
        <v>0.99292853861362318</v>
      </c>
    </row>
    <row r="9" spans="1:48" x14ac:dyDescent="0.2">
      <c r="A9" s="55" t="s">
        <v>94</v>
      </c>
      <c r="M9" s="12">
        <v>21600</v>
      </c>
      <c r="AT9" s="56">
        <f>SUM(B9:AS9)</f>
        <v>21600</v>
      </c>
      <c r="AU9" s="88">
        <f>+AT9/$AT$13</f>
        <v>7.0714613863767659E-3</v>
      </c>
    </row>
    <row r="10" spans="1:48" x14ac:dyDescent="0.2">
      <c r="AT10" s="56">
        <f>SUM(B10:AS10)</f>
        <v>0</v>
      </c>
      <c r="AU10" s="88">
        <f>+AT10/$AT$13</f>
        <v>0</v>
      </c>
    </row>
    <row r="11" spans="1:48" x14ac:dyDescent="0.2">
      <c r="AT11" s="56">
        <f>SUM(B11:AS11)</f>
        <v>0</v>
      </c>
      <c r="AU11" s="88">
        <f>+AT11/$AT$13</f>
        <v>0</v>
      </c>
    </row>
    <row r="12" spans="1:48" x14ac:dyDescent="0.2">
      <c r="AT12" s="56">
        <f>SUM(B12:AS12)</f>
        <v>0</v>
      </c>
      <c r="AU12" s="88">
        <f>+AT12/$AT$13</f>
        <v>0</v>
      </c>
    </row>
    <row r="13" spans="1:48" ht="12.75" thickBot="1" x14ac:dyDescent="0.25">
      <c r="A13" s="59" t="s">
        <v>37</v>
      </c>
      <c r="B13" s="59">
        <f>SUM(B8:B12)</f>
        <v>313000</v>
      </c>
      <c r="C13" s="59">
        <f t="shared" ref="C13:AS13" si="0">SUM(C8:C12)</f>
        <v>105500</v>
      </c>
      <c r="D13" s="59">
        <f t="shared" si="0"/>
        <v>56750</v>
      </c>
      <c r="E13" s="59">
        <f t="shared" si="0"/>
        <v>110619.42000000004</v>
      </c>
      <c r="F13" s="59">
        <f t="shared" si="0"/>
        <v>272900</v>
      </c>
      <c r="G13" s="59">
        <f t="shared" si="0"/>
        <v>58750</v>
      </c>
      <c r="H13" s="59">
        <f t="shared" si="0"/>
        <v>0</v>
      </c>
      <c r="I13" s="59">
        <f t="shared" si="0"/>
        <v>464900</v>
      </c>
      <c r="J13" s="59">
        <f t="shared" si="0"/>
        <v>186711.8600000001</v>
      </c>
      <c r="K13" s="59">
        <f t="shared" si="0"/>
        <v>19000</v>
      </c>
      <c r="L13" s="59">
        <f t="shared" si="0"/>
        <v>88300</v>
      </c>
      <c r="M13" s="59">
        <f t="shared" si="0"/>
        <v>75200</v>
      </c>
      <c r="N13" s="59">
        <f t="shared" si="0"/>
        <v>0</v>
      </c>
      <c r="O13" s="59">
        <f t="shared" si="0"/>
        <v>0</v>
      </c>
      <c r="P13" s="59">
        <f t="shared" si="0"/>
        <v>0</v>
      </c>
      <c r="Q13" s="59">
        <f t="shared" si="0"/>
        <v>0</v>
      </c>
      <c r="R13" s="59">
        <f t="shared" si="0"/>
        <v>97750</v>
      </c>
      <c r="S13" s="59">
        <f t="shared" si="0"/>
        <v>98250</v>
      </c>
      <c r="T13" s="59">
        <f t="shared" si="0"/>
        <v>55750</v>
      </c>
      <c r="U13" s="59">
        <f t="shared" si="0"/>
        <v>0</v>
      </c>
      <c r="V13" s="59">
        <f t="shared" si="0"/>
        <v>54000</v>
      </c>
      <c r="W13" s="59">
        <f t="shared" si="0"/>
        <v>0</v>
      </c>
      <c r="X13" s="59">
        <f t="shared" si="0"/>
        <v>0</v>
      </c>
      <c r="Y13" s="59">
        <f t="shared" si="0"/>
        <v>0</v>
      </c>
      <c r="Z13" s="59">
        <f t="shared" si="0"/>
        <v>36000</v>
      </c>
      <c r="AA13" s="59">
        <f t="shared" si="0"/>
        <v>38000</v>
      </c>
      <c r="AB13" s="59">
        <f t="shared" si="0"/>
        <v>0</v>
      </c>
      <c r="AC13" s="59">
        <f t="shared" si="0"/>
        <v>86500</v>
      </c>
      <c r="AD13" s="59">
        <f t="shared" si="0"/>
        <v>38000</v>
      </c>
      <c r="AE13" s="59">
        <f t="shared" si="0"/>
        <v>19500</v>
      </c>
      <c r="AF13" s="59">
        <f t="shared" si="0"/>
        <v>84500</v>
      </c>
      <c r="AG13" s="59">
        <f t="shared" si="0"/>
        <v>0</v>
      </c>
      <c r="AH13" s="59">
        <f t="shared" si="0"/>
        <v>271500</v>
      </c>
      <c r="AI13" s="59">
        <f t="shared" si="0"/>
        <v>55750</v>
      </c>
      <c r="AJ13" s="59">
        <f t="shared" si="0"/>
        <v>0</v>
      </c>
      <c r="AK13" s="59">
        <f t="shared" si="0"/>
        <v>57200</v>
      </c>
      <c r="AL13" s="59">
        <f t="shared" si="0"/>
        <v>0</v>
      </c>
      <c r="AM13" s="59">
        <f t="shared" si="0"/>
        <v>41000</v>
      </c>
      <c r="AN13" s="59">
        <f t="shared" si="0"/>
        <v>0</v>
      </c>
      <c r="AO13" s="59">
        <f t="shared" si="0"/>
        <v>18500</v>
      </c>
      <c r="AP13" s="59">
        <f t="shared" si="0"/>
        <v>232000</v>
      </c>
      <c r="AQ13" s="59">
        <f t="shared" si="0"/>
        <v>18700</v>
      </c>
      <c r="AR13" s="59">
        <f t="shared" si="0"/>
        <v>0</v>
      </c>
      <c r="AS13" s="59">
        <f t="shared" si="0"/>
        <v>0</v>
      </c>
      <c r="AT13" s="59">
        <f>SUM(AT8:AT12)</f>
        <v>3054531.2800000003</v>
      </c>
      <c r="AU13" s="81">
        <f>SUM(AU8:AU12)</f>
        <v>1</v>
      </c>
    </row>
    <row r="14" spans="1:48" ht="12.75" thickTop="1" x14ac:dyDescent="0.2"/>
    <row r="15" spans="1:48" x14ac:dyDescent="0.2">
      <c r="A15" s="55" t="s">
        <v>39</v>
      </c>
      <c r="B15" s="26">
        <v>113805.75000000012</v>
      </c>
      <c r="C15" s="26">
        <v>0</v>
      </c>
      <c r="D15" s="26">
        <v>26995.489999999991</v>
      </c>
      <c r="E15" s="26">
        <v>46069.919999999984</v>
      </c>
      <c r="F15" s="26">
        <v>116563.21999999997</v>
      </c>
      <c r="G15" s="26">
        <v>28966.320000000007</v>
      </c>
      <c r="H15" s="26"/>
      <c r="I15" s="26">
        <v>186678.80999999982</v>
      </c>
      <c r="J15" s="26">
        <v>73695.920000000042</v>
      </c>
      <c r="K15" s="26">
        <v>8805</v>
      </c>
      <c r="L15" s="26">
        <v>35892.380000000063</v>
      </c>
      <c r="M15" s="26">
        <v>26492.839999999997</v>
      </c>
      <c r="N15" s="26"/>
      <c r="O15" s="26"/>
      <c r="P15" s="26"/>
      <c r="Q15" s="26"/>
      <c r="R15" s="26">
        <v>27265.530000000086</v>
      </c>
      <c r="S15" s="26">
        <v>53346.239999999991</v>
      </c>
      <c r="T15" s="26">
        <v>22739.5</v>
      </c>
      <c r="U15" s="26"/>
      <c r="V15" s="26">
        <v>27170.5</v>
      </c>
      <c r="W15" s="26"/>
      <c r="X15" s="26"/>
      <c r="Y15" s="26"/>
      <c r="Z15" s="26">
        <v>12434.220000000001</v>
      </c>
      <c r="AA15" s="26">
        <v>18327.840000000011</v>
      </c>
      <c r="AB15" s="26"/>
      <c r="AC15" s="26">
        <v>34775.440000000031</v>
      </c>
      <c r="AD15" s="26">
        <v>17098.180000000008</v>
      </c>
      <c r="AE15" s="26">
        <v>8805</v>
      </c>
      <c r="AF15" s="26">
        <v>37372.049999999988</v>
      </c>
      <c r="AG15" s="26"/>
      <c r="AH15" s="26">
        <v>127337.54000000004</v>
      </c>
      <c r="AI15" s="26">
        <v>15456.220000000001</v>
      </c>
      <c r="AJ15" s="26"/>
      <c r="AK15" s="26">
        <v>29023.880000000005</v>
      </c>
      <c r="AL15" s="26"/>
      <c r="AM15" s="26">
        <v>15970</v>
      </c>
      <c r="AN15" s="26"/>
      <c r="AO15" s="26">
        <v>8805</v>
      </c>
      <c r="AP15" s="26">
        <v>70485.88</v>
      </c>
      <c r="AQ15" s="26">
        <v>8805</v>
      </c>
      <c r="AR15" s="26"/>
      <c r="AS15" s="26">
        <v>305367.59000000003</v>
      </c>
      <c r="AT15" s="60">
        <f t="shared" ref="AT15:AT44" si="1">SUM(B15:AS15)</f>
        <v>1504551.26</v>
      </c>
      <c r="AU15" s="88">
        <f t="shared" ref="AU15:AU44" si="2">+AT15/$AT$45</f>
        <v>0.53106422375186946</v>
      </c>
      <c r="AV15" s="55" t="s">
        <v>68</v>
      </c>
    </row>
    <row r="16" spans="1:48" x14ac:dyDescent="0.2">
      <c r="A16" s="55" t="s">
        <v>40</v>
      </c>
      <c r="B16" s="26">
        <v>13382.87999999999</v>
      </c>
      <c r="C16" s="26">
        <v>0</v>
      </c>
      <c r="D16" s="26">
        <v>2947.1099999999988</v>
      </c>
      <c r="E16" s="26">
        <v>4920.0799999999945</v>
      </c>
      <c r="F16" s="26">
        <v>13808.929999999993</v>
      </c>
      <c r="G16" s="26">
        <v>3259.5099999999984</v>
      </c>
      <c r="H16" s="26"/>
      <c r="I16" s="26">
        <v>22653.630000000005</v>
      </c>
      <c r="J16" s="26">
        <v>8940.3499999999913</v>
      </c>
      <c r="K16" s="26">
        <v>1075.6599999999999</v>
      </c>
      <c r="L16" s="26">
        <v>4382.9199999999983</v>
      </c>
      <c r="M16" s="26">
        <v>3333.0400000000009</v>
      </c>
      <c r="N16" s="26"/>
      <c r="O16" s="26"/>
      <c r="P16" s="26"/>
      <c r="Q16" s="26"/>
      <c r="R16" s="26">
        <v>2715.1100000000006</v>
      </c>
      <c r="S16" s="26">
        <v>5384.989999999998</v>
      </c>
      <c r="T16" s="26">
        <v>2204</v>
      </c>
      <c r="U16" s="26"/>
      <c r="V16" s="26">
        <v>3268.5</v>
      </c>
      <c r="W16" s="26"/>
      <c r="X16" s="26"/>
      <c r="Y16" s="26"/>
      <c r="Z16" s="26">
        <v>1433.2199999999993</v>
      </c>
      <c r="AA16" s="26">
        <v>1933.5500000000011</v>
      </c>
      <c r="AB16" s="26"/>
      <c r="AC16" s="26">
        <v>4355.5499999999993</v>
      </c>
      <c r="AD16" s="26">
        <v>1586.5200000000004</v>
      </c>
      <c r="AE16" s="26">
        <v>1076.5899999999992</v>
      </c>
      <c r="AF16" s="26">
        <v>3563</v>
      </c>
      <c r="AG16" s="26"/>
      <c r="AH16" s="26">
        <v>15209.87999999999</v>
      </c>
      <c r="AI16" s="26">
        <v>2464.08</v>
      </c>
      <c r="AJ16" s="26"/>
      <c r="AK16" s="26">
        <v>3263.16</v>
      </c>
      <c r="AL16" s="26"/>
      <c r="AM16" s="26">
        <v>2177.9699999999975</v>
      </c>
      <c r="AN16" s="26"/>
      <c r="AO16" s="26">
        <v>1081.1299999999992</v>
      </c>
      <c r="AP16" s="26">
        <v>9286.2799999999988</v>
      </c>
      <c r="AQ16" s="26">
        <v>1075.6599999999989</v>
      </c>
      <c r="AR16" s="26"/>
      <c r="AS16" s="26">
        <v>14403.65</v>
      </c>
      <c r="AT16" s="60">
        <f t="shared" si="1"/>
        <v>155186.95000000001</v>
      </c>
      <c r="AU16" s="88">
        <f t="shared" si="2"/>
        <v>5.4776622990013769E-2</v>
      </c>
      <c r="AV16" s="55" t="s">
        <v>68</v>
      </c>
    </row>
    <row r="17" spans="1:48" x14ac:dyDescent="0.2">
      <c r="A17" s="55" t="s">
        <v>41</v>
      </c>
      <c r="B17" s="26">
        <v>11547.759999999995</v>
      </c>
      <c r="C17" s="26">
        <v>200.11999999999989</v>
      </c>
      <c r="D17" s="26">
        <v>2155.7399999999998</v>
      </c>
      <c r="E17" s="26">
        <v>3978.5400000000009</v>
      </c>
      <c r="F17" s="26">
        <v>10517.820000000007</v>
      </c>
      <c r="G17" s="26">
        <v>2401.0999999999985</v>
      </c>
      <c r="H17" s="26"/>
      <c r="I17" s="26">
        <v>16187.630000000005</v>
      </c>
      <c r="J17" s="26">
        <v>6969.9799999999959</v>
      </c>
      <c r="K17" s="26">
        <v>791.85999999999967</v>
      </c>
      <c r="L17" s="26">
        <v>3232.9799999999996</v>
      </c>
      <c r="M17" s="26">
        <v>2464.0800000000017</v>
      </c>
      <c r="N17" s="26"/>
      <c r="O17" s="26"/>
      <c r="P17" s="26"/>
      <c r="Q17" s="26"/>
      <c r="R17" s="26">
        <v>2702.2000000000007</v>
      </c>
      <c r="S17" s="26">
        <v>4056.66</v>
      </c>
      <c r="T17" s="26">
        <v>1684.9699999999993</v>
      </c>
      <c r="U17" s="26"/>
      <c r="V17" s="26">
        <v>2443.3399999999983</v>
      </c>
      <c r="W17" s="26"/>
      <c r="X17" s="26"/>
      <c r="Y17" s="26"/>
      <c r="Z17" s="26">
        <v>1295.7700000000004</v>
      </c>
      <c r="AA17" s="26">
        <v>1507.9599999999991</v>
      </c>
      <c r="AB17" s="26"/>
      <c r="AC17" s="26">
        <v>3219.8300000000017</v>
      </c>
      <c r="AD17" s="26">
        <v>1314.4899999999998</v>
      </c>
      <c r="AE17" s="26">
        <v>790.75</v>
      </c>
      <c r="AF17" s="26">
        <v>3150.1900000000023</v>
      </c>
      <c r="AG17" s="26"/>
      <c r="AH17" s="26">
        <v>10568.089999999997</v>
      </c>
      <c r="AI17" s="26">
        <v>1485.4399999999996</v>
      </c>
      <c r="AJ17" s="26"/>
      <c r="AK17" s="26">
        <v>2434.4599999999991</v>
      </c>
      <c r="AL17" s="26"/>
      <c r="AM17" s="26">
        <v>1563.880000000001</v>
      </c>
      <c r="AN17" s="26"/>
      <c r="AO17" s="26">
        <v>800.22000000000025</v>
      </c>
      <c r="AP17" s="26">
        <v>6768.9800000000032</v>
      </c>
      <c r="AQ17" s="26">
        <v>788.23000000000047</v>
      </c>
      <c r="AR17" s="26"/>
      <c r="AS17" s="26">
        <v>13812.68</v>
      </c>
      <c r="AT17" s="60">
        <f t="shared" si="1"/>
        <v>120835.75000000003</v>
      </c>
      <c r="AU17" s="88">
        <f t="shared" si="2"/>
        <v>4.2651616785210081E-2</v>
      </c>
      <c r="AV17" s="55" t="s">
        <v>68</v>
      </c>
    </row>
    <row r="18" spans="1:48" x14ac:dyDescent="0.2">
      <c r="A18" s="55" t="s">
        <v>42</v>
      </c>
      <c r="B18" s="26">
        <v>6875.1599999999962</v>
      </c>
      <c r="C18" s="26">
        <v>500.28999999999996</v>
      </c>
      <c r="D18" s="26">
        <v>1278.3100000000004</v>
      </c>
      <c r="E18" s="26">
        <v>2359.1999999999989</v>
      </c>
      <c r="F18" s="26">
        <v>6421.25</v>
      </c>
      <c r="G18" s="26">
        <v>1423.7999999999993</v>
      </c>
      <c r="H18" s="26"/>
      <c r="I18" s="26">
        <v>9901.1200000000099</v>
      </c>
      <c r="J18" s="26">
        <v>4242.6200000000026</v>
      </c>
      <c r="K18" s="26">
        <v>469.55999999999995</v>
      </c>
      <c r="L18" s="26">
        <v>2320.6399999999994</v>
      </c>
      <c r="M18" s="26">
        <v>1461.1500000000015</v>
      </c>
      <c r="N18" s="26"/>
      <c r="O18" s="26"/>
      <c r="P18" s="26"/>
      <c r="Q18" s="26"/>
      <c r="R18" s="26">
        <v>1799.5500000000011</v>
      </c>
      <c r="S18" s="26">
        <v>2405.5200000000004</v>
      </c>
      <c r="T18" s="26">
        <v>999.15999999999985</v>
      </c>
      <c r="U18" s="26"/>
      <c r="V18" s="26">
        <v>1448.8499999999985</v>
      </c>
      <c r="W18" s="26"/>
      <c r="X18" s="26"/>
      <c r="Y18" s="26"/>
      <c r="Z18" s="26">
        <v>768.35999999999967</v>
      </c>
      <c r="AA18" s="26">
        <v>990.52000000000044</v>
      </c>
      <c r="AB18" s="26"/>
      <c r="AC18" s="26">
        <v>1909.2899999999991</v>
      </c>
      <c r="AD18" s="26">
        <v>945.80000000000018</v>
      </c>
      <c r="AE18" s="26">
        <v>468.89999999999964</v>
      </c>
      <c r="AF18" s="26">
        <v>2135.8099999999995</v>
      </c>
      <c r="AG18" s="26"/>
      <c r="AH18" s="26">
        <v>7569.570000000007</v>
      </c>
      <c r="AI18" s="26">
        <v>880.82999999999993</v>
      </c>
      <c r="AJ18" s="26"/>
      <c r="AK18" s="26">
        <v>1443.5899999999983</v>
      </c>
      <c r="AL18" s="26"/>
      <c r="AM18" s="26">
        <v>927.34999999999945</v>
      </c>
      <c r="AN18" s="26"/>
      <c r="AO18" s="26">
        <v>474.52</v>
      </c>
      <c r="AP18" s="26">
        <v>4013.8599999999969</v>
      </c>
      <c r="AQ18" s="26">
        <v>467.41000000000031</v>
      </c>
      <c r="AR18" s="26"/>
      <c r="AS18" s="26">
        <v>6502.89</v>
      </c>
      <c r="AT18" s="60">
        <f t="shared" si="1"/>
        <v>73404.880000000019</v>
      </c>
      <c r="AU18" s="88">
        <f t="shared" si="2"/>
        <v>2.5909855418817126E-2</v>
      </c>
      <c r="AV18" s="55" t="s">
        <v>68</v>
      </c>
    </row>
    <row r="19" spans="1:48" x14ac:dyDescent="0.2">
      <c r="A19" s="55" t="s">
        <v>43</v>
      </c>
      <c r="B19" s="26">
        <v>4420.5800000000017</v>
      </c>
      <c r="C19" s="26">
        <v>0</v>
      </c>
      <c r="D19" s="26">
        <v>1048.5900000000001</v>
      </c>
      <c r="E19" s="26">
        <v>1789.5100000000002</v>
      </c>
      <c r="F19" s="26">
        <v>4527.6899999999951</v>
      </c>
      <c r="G19" s="26">
        <v>1125.1499999999996</v>
      </c>
      <c r="H19" s="26"/>
      <c r="I19" s="26">
        <v>7251.2100000000064</v>
      </c>
      <c r="J19" s="26">
        <v>2862.59</v>
      </c>
      <c r="K19" s="26">
        <v>342.01000000000022</v>
      </c>
      <c r="L19" s="26">
        <v>1394.1800000000003</v>
      </c>
      <c r="M19" s="26">
        <v>1029.0699999999997</v>
      </c>
      <c r="N19" s="26"/>
      <c r="O19" s="26"/>
      <c r="P19" s="26"/>
      <c r="Q19" s="26"/>
      <c r="R19" s="26">
        <v>1059.08</v>
      </c>
      <c r="S19" s="26">
        <v>2072.1400000000012</v>
      </c>
      <c r="T19" s="26">
        <v>883.27999999999975</v>
      </c>
      <c r="U19" s="26"/>
      <c r="V19" s="26">
        <v>1055.3900000000012</v>
      </c>
      <c r="W19" s="26"/>
      <c r="X19" s="26"/>
      <c r="Y19" s="26"/>
      <c r="Z19" s="26">
        <v>482.99000000000069</v>
      </c>
      <c r="AA19" s="26">
        <v>711.90999999999985</v>
      </c>
      <c r="AB19" s="26"/>
      <c r="AC19" s="26">
        <v>1350.7899999999991</v>
      </c>
      <c r="AD19" s="26">
        <v>664.14999999999964</v>
      </c>
      <c r="AE19" s="26">
        <v>342.00999999999976</v>
      </c>
      <c r="AF19" s="26">
        <v>1451.6499999999996</v>
      </c>
      <c r="AG19" s="26"/>
      <c r="AH19" s="26">
        <v>4946.2000000000007</v>
      </c>
      <c r="AI19" s="26">
        <v>600.36999999999989</v>
      </c>
      <c r="AJ19" s="26"/>
      <c r="AK19" s="26">
        <v>1127.3800000000001</v>
      </c>
      <c r="AL19" s="26"/>
      <c r="AM19" s="26">
        <v>620.32999999999993</v>
      </c>
      <c r="AN19" s="26"/>
      <c r="AO19" s="26">
        <v>342.01000000000022</v>
      </c>
      <c r="AP19" s="26">
        <v>2737.8999999999978</v>
      </c>
      <c r="AQ19" s="26">
        <v>342.00999999999976</v>
      </c>
      <c r="AR19" s="26"/>
      <c r="AS19" s="26">
        <v>11849.7</v>
      </c>
      <c r="AT19" s="60">
        <f t="shared" si="1"/>
        <v>58429.870000000024</v>
      </c>
      <c r="AU19" s="88">
        <f t="shared" si="2"/>
        <v>2.0624098613610982E-2</v>
      </c>
    </row>
    <row r="20" spans="1:48" x14ac:dyDescent="0.2">
      <c r="A20" s="55" t="s">
        <v>44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/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/>
      <c r="O20" s="26"/>
      <c r="P20" s="26"/>
      <c r="Q20" s="26"/>
      <c r="R20" s="26">
        <v>0</v>
      </c>
      <c r="S20" s="26">
        <v>0</v>
      </c>
      <c r="T20" s="26">
        <v>0</v>
      </c>
      <c r="U20" s="26"/>
      <c r="V20" s="26">
        <v>0</v>
      </c>
      <c r="W20" s="26"/>
      <c r="X20" s="26"/>
      <c r="Y20" s="26"/>
      <c r="Z20" s="26">
        <v>0</v>
      </c>
      <c r="AA20" s="26">
        <v>0</v>
      </c>
      <c r="AB20" s="26"/>
      <c r="AC20" s="26">
        <v>0</v>
      </c>
      <c r="AD20" s="26">
        <v>0</v>
      </c>
      <c r="AE20" s="26">
        <v>0</v>
      </c>
      <c r="AF20" s="26">
        <v>0</v>
      </c>
      <c r="AG20" s="26"/>
      <c r="AH20" s="26">
        <v>0</v>
      </c>
      <c r="AI20" s="26">
        <v>0</v>
      </c>
      <c r="AJ20" s="26"/>
      <c r="AK20" s="26">
        <v>0</v>
      </c>
      <c r="AL20" s="26"/>
      <c r="AM20" s="26">
        <v>0</v>
      </c>
      <c r="AN20" s="26"/>
      <c r="AO20" s="26">
        <v>0</v>
      </c>
      <c r="AP20" s="26">
        <v>0</v>
      </c>
      <c r="AQ20" s="26">
        <v>0</v>
      </c>
      <c r="AR20" s="26"/>
      <c r="AS20" s="26">
        <v>1993.17</v>
      </c>
      <c r="AT20" s="60">
        <f t="shared" si="1"/>
        <v>1993.17</v>
      </c>
      <c r="AU20" s="88">
        <f t="shared" si="2"/>
        <v>7.0353287853782635E-4</v>
      </c>
    </row>
    <row r="21" spans="1:48" x14ac:dyDescent="0.2">
      <c r="A21" s="55" t="s">
        <v>45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/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/>
      <c r="O21" s="26"/>
      <c r="P21" s="26"/>
      <c r="Q21" s="26"/>
      <c r="R21" s="26">
        <v>0</v>
      </c>
      <c r="S21" s="26">
        <v>0</v>
      </c>
      <c r="T21" s="26">
        <v>0</v>
      </c>
      <c r="U21" s="26"/>
      <c r="V21" s="26">
        <v>0</v>
      </c>
      <c r="W21" s="26"/>
      <c r="X21" s="26"/>
      <c r="Y21" s="26"/>
      <c r="Z21" s="26">
        <v>0</v>
      </c>
      <c r="AA21" s="26">
        <v>0</v>
      </c>
      <c r="AB21" s="26"/>
      <c r="AC21" s="26">
        <v>0</v>
      </c>
      <c r="AD21" s="26">
        <v>0</v>
      </c>
      <c r="AE21" s="26">
        <v>0</v>
      </c>
      <c r="AF21" s="26">
        <v>0</v>
      </c>
      <c r="AG21" s="26"/>
      <c r="AH21" s="26">
        <v>0</v>
      </c>
      <c r="AI21" s="26">
        <v>0</v>
      </c>
      <c r="AJ21" s="26"/>
      <c r="AK21" s="26">
        <v>0</v>
      </c>
      <c r="AL21" s="26"/>
      <c r="AM21" s="26">
        <v>0</v>
      </c>
      <c r="AN21" s="26"/>
      <c r="AO21" s="26">
        <v>0</v>
      </c>
      <c r="AP21" s="26">
        <v>0</v>
      </c>
      <c r="AQ21" s="26">
        <v>0</v>
      </c>
      <c r="AR21" s="26"/>
      <c r="AS21" s="26">
        <v>767.24</v>
      </c>
      <c r="AT21" s="60">
        <f t="shared" si="1"/>
        <v>767.24</v>
      </c>
      <c r="AU21" s="88">
        <f t="shared" si="2"/>
        <v>2.7081411306078353E-4</v>
      </c>
    </row>
    <row r="22" spans="1:48" x14ac:dyDescent="0.2">
      <c r="A22" s="55" t="s">
        <v>46</v>
      </c>
      <c r="B22" s="26">
        <v>8877.5</v>
      </c>
      <c r="C22" s="26">
        <v>2040</v>
      </c>
      <c r="D22" s="26">
        <v>2040</v>
      </c>
      <c r="E22" s="26">
        <v>0</v>
      </c>
      <c r="F22" s="26">
        <v>8840</v>
      </c>
      <c r="G22" s="26">
        <v>2040</v>
      </c>
      <c r="H22" s="26"/>
      <c r="I22" s="26">
        <v>15677.5</v>
      </c>
      <c r="J22" s="26">
        <v>7517.5</v>
      </c>
      <c r="K22" s="26">
        <v>680</v>
      </c>
      <c r="L22" s="26">
        <v>3400</v>
      </c>
      <c r="M22" s="26">
        <v>2040</v>
      </c>
      <c r="N22" s="26"/>
      <c r="O22" s="26"/>
      <c r="P22" s="26"/>
      <c r="Q22" s="26"/>
      <c r="R22" s="26">
        <v>3400</v>
      </c>
      <c r="S22" s="26">
        <v>3400</v>
      </c>
      <c r="T22" s="26">
        <v>2077.5</v>
      </c>
      <c r="U22" s="26"/>
      <c r="V22" s="26">
        <v>2040</v>
      </c>
      <c r="W22" s="26"/>
      <c r="X22" s="26"/>
      <c r="Y22" s="26"/>
      <c r="Z22" s="26">
        <v>0</v>
      </c>
      <c r="AA22" s="26">
        <v>1360</v>
      </c>
      <c r="AB22" s="26"/>
      <c r="AC22" s="26">
        <v>3437.5</v>
      </c>
      <c r="AD22" s="26">
        <v>1360</v>
      </c>
      <c r="AE22" s="26">
        <v>680</v>
      </c>
      <c r="AF22" s="26">
        <v>3475</v>
      </c>
      <c r="AG22" s="26"/>
      <c r="AH22" s="26">
        <v>8197.5</v>
      </c>
      <c r="AI22" s="26">
        <v>2040</v>
      </c>
      <c r="AJ22" s="26"/>
      <c r="AK22" s="26">
        <v>2040</v>
      </c>
      <c r="AL22" s="26"/>
      <c r="AM22" s="26">
        <v>1360</v>
      </c>
      <c r="AN22" s="26"/>
      <c r="AO22" s="26">
        <v>680</v>
      </c>
      <c r="AP22" s="26">
        <v>8160</v>
      </c>
      <c r="AQ22" s="26">
        <v>0</v>
      </c>
      <c r="AR22" s="26"/>
      <c r="AS22" s="26">
        <v>14110</v>
      </c>
      <c r="AT22" s="60">
        <f t="shared" si="1"/>
        <v>110970</v>
      </c>
      <c r="AU22" s="88">
        <f t="shared" si="2"/>
        <v>3.916928487351435E-2</v>
      </c>
    </row>
    <row r="23" spans="1:48" x14ac:dyDescent="0.2">
      <c r="A23" s="55" t="s">
        <v>47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/>
      <c r="I23" s="26">
        <v>283.62</v>
      </c>
      <c r="J23" s="26">
        <v>0</v>
      </c>
      <c r="K23" s="26">
        <v>0</v>
      </c>
      <c r="L23" s="26">
        <v>0</v>
      </c>
      <c r="M23" s="26">
        <v>0</v>
      </c>
      <c r="N23" s="26"/>
      <c r="O23" s="26"/>
      <c r="P23" s="26"/>
      <c r="Q23" s="26"/>
      <c r="R23" s="26">
        <v>0</v>
      </c>
      <c r="S23" s="26">
        <v>0</v>
      </c>
      <c r="T23" s="26">
        <v>0</v>
      </c>
      <c r="U23" s="26"/>
      <c r="V23" s="26">
        <v>0</v>
      </c>
      <c r="W23" s="26"/>
      <c r="X23" s="26"/>
      <c r="Y23" s="26"/>
      <c r="Z23" s="26">
        <v>0</v>
      </c>
      <c r="AA23" s="26">
        <v>0</v>
      </c>
      <c r="AB23" s="26"/>
      <c r="AC23" s="26">
        <v>0</v>
      </c>
      <c r="AD23" s="26">
        <v>0</v>
      </c>
      <c r="AE23" s="26">
        <v>0</v>
      </c>
      <c r="AF23" s="26">
        <v>0</v>
      </c>
      <c r="AG23" s="26"/>
      <c r="AH23" s="26">
        <v>0</v>
      </c>
      <c r="AI23" s="26">
        <v>0</v>
      </c>
      <c r="AJ23" s="26"/>
      <c r="AK23" s="26">
        <v>0</v>
      </c>
      <c r="AL23" s="26"/>
      <c r="AM23" s="26">
        <v>0</v>
      </c>
      <c r="AN23" s="26"/>
      <c r="AO23" s="26">
        <v>0</v>
      </c>
      <c r="AP23" s="26">
        <v>0</v>
      </c>
      <c r="AQ23" s="26">
        <v>0</v>
      </c>
      <c r="AR23" s="26"/>
      <c r="AS23" s="26">
        <v>0</v>
      </c>
      <c r="AT23" s="60">
        <f t="shared" si="1"/>
        <v>283.62</v>
      </c>
      <c r="AU23" s="88">
        <f t="shared" si="2"/>
        <v>1.0010987272079065E-4</v>
      </c>
    </row>
    <row r="24" spans="1:48" x14ac:dyDescent="0.2">
      <c r="A24" s="55" t="s">
        <v>48</v>
      </c>
      <c r="B24" s="26">
        <v>283.61999999999989</v>
      </c>
      <c r="C24" s="26">
        <v>283.61999999999989</v>
      </c>
      <c r="D24" s="26">
        <v>283.61999999999989</v>
      </c>
      <c r="E24" s="26">
        <v>283.61999999999989</v>
      </c>
      <c r="F24" s="26">
        <v>283.61999999999989</v>
      </c>
      <c r="G24" s="26">
        <v>283.61999999999989</v>
      </c>
      <c r="H24" s="26"/>
      <c r="I24" s="26">
        <v>0</v>
      </c>
      <c r="J24" s="26">
        <v>283.61999999999989</v>
      </c>
      <c r="K24" s="26">
        <v>0</v>
      </c>
      <c r="L24" s="26">
        <v>283.61999999999989</v>
      </c>
      <c r="M24" s="26">
        <v>283.61999999999989</v>
      </c>
      <c r="N24" s="26"/>
      <c r="O24" s="26"/>
      <c r="P24" s="26"/>
      <c r="Q24" s="26"/>
      <c r="R24" s="26">
        <v>567.23999999999978</v>
      </c>
      <c r="S24" s="26">
        <v>283.61999999999989</v>
      </c>
      <c r="T24" s="26">
        <v>283.61999999999989</v>
      </c>
      <c r="U24" s="26"/>
      <c r="V24" s="26">
        <v>283.62000000000035</v>
      </c>
      <c r="W24" s="26"/>
      <c r="X24" s="26"/>
      <c r="Y24" s="26"/>
      <c r="Z24" s="26">
        <v>283.61999999999989</v>
      </c>
      <c r="AA24" s="26">
        <v>283.61999999999989</v>
      </c>
      <c r="AB24" s="26"/>
      <c r="AC24" s="26">
        <v>283.61999999999989</v>
      </c>
      <c r="AD24" s="26">
        <v>283.61999999999989</v>
      </c>
      <c r="AE24" s="26">
        <v>283.61999999999989</v>
      </c>
      <c r="AF24" s="26">
        <v>567.23999999999978</v>
      </c>
      <c r="AG24" s="26"/>
      <c r="AH24" s="26">
        <v>283.61999999999989</v>
      </c>
      <c r="AI24" s="26">
        <v>283.61999999999989</v>
      </c>
      <c r="AJ24" s="26"/>
      <c r="AK24" s="26">
        <v>283.61999999999989</v>
      </c>
      <c r="AL24" s="26"/>
      <c r="AM24" s="26">
        <v>283.61999999999989</v>
      </c>
      <c r="AN24" s="26"/>
      <c r="AO24" s="26">
        <v>283.61999999999989</v>
      </c>
      <c r="AP24" s="26">
        <v>567.23999999999978</v>
      </c>
      <c r="AQ24" s="26">
        <v>283.61999999999989</v>
      </c>
      <c r="AR24" s="26"/>
      <c r="AS24" s="26">
        <v>12283.51</v>
      </c>
      <c r="AT24" s="60">
        <f t="shared" si="1"/>
        <v>20508.489999999998</v>
      </c>
      <c r="AU24" s="88">
        <f t="shared" si="2"/>
        <v>7.238919411873661E-3</v>
      </c>
    </row>
    <row r="25" spans="1:48" x14ac:dyDescent="0.2">
      <c r="A25" s="55" t="s">
        <v>49</v>
      </c>
      <c r="B25" s="26">
        <v>436.91000000000008</v>
      </c>
      <c r="C25" s="26">
        <v>0</v>
      </c>
      <c r="D25" s="26">
        <v>78.86000000000007</v>
      </c>
      <c r="E25" s="26">
        <v>150.5200000000001</v>
      </c>
      <c r="F25" s="26">
        <v>486.74</v>
      </c>
      <c r="G25" s="26">
        <v>0</v>
      </c>
      <c r="H25" s="26"/>
      <c r="I25" s="26">
        <v>360.49000000000024</v>
      </c>
      <c r="J25" s="26">
        <v>224.30999999999995</v>
      </c>
      <c r="K25" s="26">
        <v>0</v>
      </c>
      <c r="L25" s="26">
        <v>68.480000000000132</v>
      </c>
      <c r="M25" s="26">
        <v>85.909999999999968</v>
      </c>
      <c r="N25" s="26"/>
      <c r="O25" s="26"/>
      <c r="P25" s="26"/>
      <c r="Q25" s="26"/>
      <c r="R25" s="26">
        <v>339.88000000000011</v>
      </c>
      <c r="S25" s="26">
        <v>335.66000000000008</v>
      </c>
      <c r="T25" s="26">
        <v>8.7999999999999545</v>
      </c>
      <c r="U25" s="26"/>
      <c r="V25" s="26">
        <v>57.740000000000009</v>
      </c>
      <c r="W25" s="26"/>
      <c r="X25" s="26"/>
      <c r="Y25" s="26"/>
      <c r="Z25" s="26">
        <v>154.91999999999999</v>
      </c>
      <c r="AA25" s="26">
        <v>31.259999999999991</v>
      </c>
      <c r="AB25" s="26"/>
      <c r="AC25" s="26">
        <v>179.67999999999984</v>
      </c>
      <c r="AD25" s="26">
        <v>13.199999999999989</v>
      </c>
      <c r="AE25" s="26">
        <v>20.819999999999993</v>
      </c>
      <c r="AF25" s="26">
        <v>44</v>
      </c>
      <c r="AG25" s="26"/>
      <c r="AH25" s="26">
        <v>113.91000000000008</v>
      </c>
      <c r="AI25" s="26">
        <v>8.8000000000000682</v>
      </c>
      <c r="AJ25" s="26"/>
      <c r="AK25" s="26">
        <v>115.21000000000004</v>
      </c>
      <c r="AL25" s="26"/>
      <c r="AM25" s="26">
        <v>0</v>
      </c>
      <c r="AN25" s="26"/>
      <c r="AO25" s="26">
        <v>79.990000000000009</v>
      </c>
      <c r="AP25" s="26">
        <v>166.15000000000009</v>
      </c>
      <c r="AQ25" s="26">
        <v>0</v>
      </c>
      <c r="AR25" s="26"/>
      <c r="AS25" s="26">
        <v>74.53</v>
      </c>
      <c r="AT25" s="60">
        <f t="shared" si="1"/>
        <v>3636.7700000000004</v>
      </c>
      <c r="AU25" s="88">
        <f t="shared" si="2"/>
        <v>1.2836773916324303E-3</v>
      </c>
    </row>
    <row r="26" spans="1:48" x14ac:dyDescent="0.2">
      <c r="A26" s="55" t="s">
        <v>50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/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/>
      <c r="O26" s="26"/>
      <c r="P26" s="26"/>
      <c r="Q26" s="26"/>
      <c r="R26" s="26">
        <v>0</v>
      </c>
      <c r="S26" s="26">
        <v>0</v>
      </c>
      <c r="T26" s="26">
        <v>0</v>
      </c>
      <c r="U26" s="26"/>
      <c r="V26" s="26">
        <v>0</v>
      </c>
      <c r="W26" s="26"/>
      <c r="X26" s="26"/>
      <c r="Y26" s="26"/>
      <c r="Z26" s="26">
        <v>0</v>
      </c>
      <c r="AA26" s="26">
        <v>0</v>
      </c>
      <c r="AB26" s="26"/>
      <c r="AC26" s="26">
        <v>0</v>
      </c>
      <c r="AD26" s="26">
        <v>0</v>
      </c>
      <c r="AE26" s="26">
        <v>0</v>
      </c>
      <c r="AF26" s="26">
        <v>0</v>
      </c>
      <c r="AG26" s="26"/>
      <c r="AH26" s="26">
        <v>0</v>
      </c>
      <c r="AI26" s="26">
        <v>0</v>
      </c>
      <c r="AJ26" s="26"/>
      <c r="AK26" s="26">
        <v>0</v>
      </c>
      <c r="AL26" s="26"/>
      <c r="AM26" s="26">
        <v>0</v>
      </c>
      <c r="AN26" s="26"/>
      <c r="AO26" s="26">
        <v>0</v>
      </c>
      <c r="AP26" s="26">
        <v>0</v>
      </c>
      <c r="AQ26" s="26">
        <v>0</v>
      </c>
      <c r="AR26" s="26"/>
      <c r="AS26" s="26">
        <v>44837.96</v>
      </c>
      <c r="AT26" s="60">
        <f t="shared" si="1"/>
        <v>44837.96</v>
      </c>
      <c r="AU26" s="88">
        <f t="shared" si="2"/>
        <v>1.5826537157675419E-2</v>
      </c>
    </row>
    <row r="27" spans="1:48" x14ac:dyDescent="0.2">
      <c r="A27" s="55" t="s">
        <v>51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/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/>
      <c r="O27" s="26"/>
      <c r="P27" s="26"/>
      <c r="Q27" s="26"/>
      <c r="R27" s="26">
        <v>0</v>
      </c>
      <c r="S27" s="26">
        <v>0</v>
      </c>
      <c r="T27" s="26">
        <v>0</v>
      </c>
      <c r="U27" s="26"/>
      <c r="V27" s="26">
        <v>0</v>
      </c>
      <c r="W27" s="26"/>
      <c r="X27" s="26"/>
      <c r="Y27" s="26"/>
      <c r="Z27" s="26">
        <v>0</v>
      </c>
      <c r="AA27" s="26">
        <v>0</v>
      </c>
      <c r="AB27" s="26"/>
      <c r="AC27" s="26">
        <v>0</v>
      </c>
      <c r="AD27" s="26">
        <v>0</v>
      </c>
      <c r="AE27" s="26">
        <v>0</v>
      </c>
      <c r="AF27" s="26">
        <v>0</v>
      </c>
      <c r="AG27" s="26"/>
      <c r="AH27" s="26">
        <v>0</v>
      </c>
      <c r="AI27" s="26">
        <v>0</v>
      </c>
      <c r="AJ27" s="26"/>
      <c r="AK27" s="26">
        <v>0</v>
      </c>
      <c r="AL27" s="26"/>
      <c r="AM27" s="26">
        <v>0</v>
      </c>
      <c r="AN27" s="26"/>
      <c r="AO27" s="26">
        <v>0</v>
      </c>
      <c r="AP27" s="26">
        <v>0</v>
      </c>
      <c r="AQ27" s="26">
        <v>0</v>
      </c>
      <c r="AR27" s="26"/>
      <c r="AS27" s="26">
        <v>0</v>
      </c>
      <c r="AT27" s="60">
        <f t="shared" si="1"/>
        <v>0</v>
      </c>
      <c r="AU27" s="88">
        <f t="shared" si="2"/>
        <v>0</v>
      </c>
    </row>
    <row r="28" spans="1:48" x14ac:dyDescent="0.2">
      <c r="A28" s="55" t="s">
        <v>52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/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/>
      <c r="O28" s="26"/>
      <c r="P28" s="26"/>
      <c r="Q28" s="26"/>
      <c r="R28" s="26">
        <v>0</v>
      </c>
      <c r="S28" s="26">
        <v>0</v>
      </c>
      <c r="T28" s="26">
        <v>0</v>
      </c>
      <c r="U28" s="26"/>
      <c r="V28" s="26">
        <v>0</v>
      </c>
      <c r="W28" s="26"/>
      <c r="X28" s="26"/>
      <c r="Y28" s="26"/>
      <c r="Z28" s="26">
        <v>0</v>
      </c>
      <c r="AA28" s="26">
        <v>0</v>
      </c>
      <c r="AB28" s="26"/>
      <c r="AC28" s="26">
        <v>0</v>
      </c>
      <c r="AD28" s="26">
        <v>0</v>
      </c>
      <c r="AE28" s="26">
        <v>0</v>
      </c>
      <c r="AF28" s="26">
        <v>0</v>
      </c>
      <c r="AG28" s="26"/>
      <c r="AH28" s="26">
        <v>0</v>
      </c>
      <c r="AI28" s="26">
        <v>0</v>
      </c>
      <c r="AJ28" s="26"/>
      <c r="AK28" s="26">
        <v>0</v>
      </c>
      <c r="AL28" s="26"/>
      <c r="AM28" s="26">
        <v>0</v>
      </c>
      <c r="AN28" s="26"/>
      <c r="AO28" s="26">
        <v>0</v>
      </c>
      <c r="AP28" s="26">
        <v>0</v>
      </c>
      <c r="AQ28" s="26">
        <v>0</v>
      </c>
      <c r="AR28" s="26"/>
      <c r="AS28" s="26">
        <v>2100</v>
      </c>
      <c r="AT28" s="60">
        <f t="shared" si="1"/>
        <v>2100</v>
      </c>
      <c r="AU28" s="88">
        <f t="shared" si="2"/>
        <v>7.4124086000162319E-4</v>
      </c>
    </row>
    <row r="29" spans="1:48" x14ac:dyDescent="0.2">
      <c r="A29" s="55" t="s">
        <v>53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/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/>
      <c r="O29" s="26"/>
      <c r="P29" s="26"/>
      <c r="Q29" s="26"/>
      <c r="R29" s="26">
        <v>0</v>
      </c>
      <c r="S29" s="26">
        <v>0</v>
      </c>
      <c r="T29" s="26">
        <v>0</v>
      </c>
      <c r="U29" s="26"/>
      <c r="V29" s="26">
        <v>0</v>
      </c>
      <c r="W29" s="26"/>
      <c r="X29" s="26"/>
      <c r="Y29" s="26"/>
      <c r="Z29" s="26">
        <v>0</v>
      </c>
      <c r="AA29" s="26">
        <v>0</v>
      </c>
      <c r="AB29" s="26"/>
      <c r="AC29" s="26">
        <v>0</v>
      </c>
      <c r="AD29" s="26">
        <v>0</v>
      </c>
      <c r="AE29" s="26">
        <v>0</v>
      </c>
      <c r="AF29" s="26">
        <v>0</v>
      </c>
      <c r="AG29" s="26"/>
      <c r="AH29" s="26">
        <v>0</v>
      </c>
      <c r="AI29" s="26">
        <v>0</v>
      </c>
      <c r="AJ29" s="26"/>
      <c r="AK29" s="26">
        <v>0</v>
      </c>
      <c r="AL29" s="26"/>
      <c r="AM29" s="26">
        <v>0</v>
      </c>
      <c r="AN29" s="26"/>
      <c r="AO29" s="26">
        <v>0</v>
      </c>
      <c r="AP29" s="26">
        <v>0</v>
      </c>
      <c r="AQ29" s="26">
        <v>0</v>
      </c>
      <c r="AR29" s="26"/>
      <c r="AS29" s="26">
        <v>9440.16</v>
      </c>
      <c r="AT29" s="60">
        <f t="shared" si="1"/>
        <v>9440.16</v>
      </c>
      <c r="AU29" s="88">
        <f t="shared" si="2"/>
        <v>3.3321106271204399E-3</v>
      </c>
    </row>
    <row r="30" spans="1:48" x14ac:dyDescent="0.2">
      <c r="A30" s="55" t="s">
        <v>54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/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/>
      <c r="O30" s="26"/>
      <c r="P30" s="26"/>
      <c r="Q30" s="26"/>
      <c r="R30" s="26">
        <v>0</v>
      </c>
      <c r="S30" s="26">
        <v>0</v>
      </c>
      <c r="T30" s="26">
        <v>0</v>
      </c>
      <c r="U30" s="26"/>
      <c r="V30" s="26">
        <v>0</v>
      </c>
      <c r="W30" s="26"/>
      <c r="X30" s="26"/>
      <c r="Y30" s="26"/>
      <c r="Z30" s="26">
        <v>0</v>
      </c>
      <c r="AA30" s="26">
        <v>0</v>
      </c>
      <c r="AB30" s="26"/>
      <c r="AC30" s="26">
        <v>0</v>
      </c>
      <c r="AD30" s="26">
        <v>0</v>
      </c>
      <c r="AE30" s="26">
        <v>0</v>
      </c>
      <c r="AF30" s="26">
        <v>0</v>
      </c>
      <c r="AG30" s="26"/>
      <c r="AH30" s="26">
        <v>0</v>
      </c>
      <c r="AI30" s="26">
        <v>0</v>
      </c>
      <c r="AJ30" s="26"/>
      <c r="AK30" s="26">
        <v>0</v>
      </c>
      <c r="AL30" s="26"/>
      <c r="AM30" s="26">
        <v>0</v>
      </c>
      <c r="AN30" s="26"/>
      <c r="AO30" s="26">
        <v>0</v>
      </c>
      <c r="AP30" s="26">
        <v>0</v>
      </c>
      <c r="AQ30" s="26">
        <v>0</v>
      </c>
      <c r="AR30" s="26"/>
      <c r="AS30" s="26">
        <v>0</v>
      </c>
      <c r="AT30" s="60">
        <f t="shared" si="1"/>
        <v>0</v>
      </c>
      <c r="AU30" s="88">
        <f t="shared" si="2"/>
        <v>0</v>
      </c>
    </row>
    <row r="31" spans="1:48" x14ac:dyDescent="0.2">
      <c r="A31" s="55" t="s">
        <v>55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/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/>
      <c r="O31" s="26"/>
      <c r="P31" s="26"/>
      <c r="Q31" s="26"/>
      <c r="R31" s="26">
        <v>0</v>
      </c>
      <c r="S31" s="26">
        <v>0</v>
      </c>
      <c r="T31" s="26">
        <v>0</v>
      </c>
      <c r="U31" s="26"/>
      <c r="V31" s="26">
        <v>0</v>
      </c>
      <c r="W31" s="26"/>
      <c r="X31" s="26"/>
      <c r="Y31" s="26"/>
      <c r="Z31" s="26">
        <v>0</v>
      </c>
      <c r="AA31" s="26">
        <v>0</v>
      </c>
      <c r="AB31" s="26"/>
      <c r="AC31" s="26">
        <v>0</v>
      </c>
      <c r="AD31" s="26">
        <v>0</v>
      </c>
      <c r="AE31" s="26">
        <v>0</v>
      </c>
      <c r="AF31" s="26">
        <v>0</v>
      </c>
      <c r="AG31" s="26"/>
      <c r="AH31" s="26">
        <v>0</v>
      </c>
      <c r="AI31" s="26">
        <v>0</v>
      </c>
      <c r="AJ31" s="26"/>
      <c r="AK31" s="26">
        <v>0</v>
      </c>
      <c r="AL31" s="26"/>
      <c r="AM31" s="26">
        <v>0</v>
      </c>
      <c r="AN31" s="26"/>
      <c r="AO31" s="26">
        <v>0</v>
      </c>
      <c r="AP31" s="26">
        <v>0</v>
      </c>
      <c r="AQ31" s="26">
        <v>0</v>
      </c>
      <c r="AR31" s="26"/>
      <c r="AS31" s="26">
        <v>18703.14</v>
      </c>
      <c r="AT31" s="60">
        <f t="shared" si="1"/>
        <v>18703.14</v>
      </c>
      <c r="AU31" s="88">
        <f t="shared" si="2"/>
        <v>6.6016817039670278E-3</v>
      </c>
    </row>
    <row r="32" spans="1:48" x14ac:dyDescent="0.2">
      <c r="A32" s="55" t="s">
        <v>56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/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/>
      <c r="O32" s="26"/>
      <c r="P32" s="26"/>
      <c r="Q32" s="26"/>
      <c r="R32" s="26">
        <v>0</v>
      </c>
      <c r="S32" s="26">
        <v>0</v>
      </c>
      <c r="T32" s="26">
        <v>0</v>
      </c>
      <c r="U32" s="26"/>
      <c r="V32" s="26">
        <v>0</v>
      </c>
      <c r="W32" s="26"/>
      <c r="X32" s="26"/>
      <c r="Y32" s="26"/>
      <c r="Z32" s="26">
        <v>0</v>
      </c>
      <c r="AA32" s="26">
        <v>0</v>
      </c>
      <c r="AB32" s="26"/>
      <c r="AC32" s="26">
        <v>0</v>
      </c>
      <c r="AD32" s="26">
        <v>0</v>
      </c>
      <c r="AE32" s="26">
        <v>0</v>
      </c>
      <c r="AF32" s="26">
        <v>0</v>
      </c>
      <c r="AG32" s="26"/>
      <c r="AH32" s="26">
        <v>0</v>
      </c>
      <c r="AI32" s="26">
        <v>0</v>
      </c>
      <c r="AJ32" s="26"/>
      <c r="AK32" s="26">
        <v>0</v>
      </c>
      <c r="AL32" s="26"/>
      <c r="AM32" s="26">
        <v>0</v>
      </c>
      <c r="AN32" s="26"/>
      <c r="AO32" s="26">
        <v>0</v>
      </c>
      <c r="AP32" s="26">
        <v>0</v>
      </c>
      <c r="AQ32" s="26">
        <v>0</v>
      </c>
      <c r="AR32" s="26"/>
      <c r="AS32" s="26">
        <v>0</v>
      </c>
      <c r="AT32" s="60">
        <f t="shared" si="1"/>
        <v>0</v>
      </c>
      <c r="AU32" s="88">
        <f t="shared" si="2"/>
        <v>0</v>
      </c>
    </row>
    <row r="33" spans="1:48" x14ac:dyDescent="0.2">
      <c r="A33" s="76" t="s">
        <v>102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/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/>
      <c r="O33" s="26"/>
      <c r="P33" s="26"/>
      <c r="Q33" s="26"/>
      <c r="R33" s="26">
        <v>0</v>
      </c>
      <c r="S33" s="26">
        <v>0</v>
      </c>
      <c r="T33" s="26">
        <v>0</v>
      </c>
      <c r="U33" s="26"/>
      <c r="V33" s="26">
        <v>0</v>
      </c>
      <c r="W33" s="26"/>
      <c r="X33" s="26"/>
      <c r="Y33" s="26"/>
      <c r="Z33" s="26">
        <v>0</v>
      </c>
      <c r="AA33" s="26">
        <v>0</v>
      </c>
      <c r="AB33" s="26"/>
      <c r="AC33" s="26">
        <v>0</v>
      </c>
      <c r="AD33" s="26">
        <v>0</v>
      </c>
      <c r="AE33" s="26">
        <v>0</v>
      </c>
      <c r="AF33" s="26">
        <v>0</v>
      </c>
      <c r="AG33" s="26"/>
      <c r="AH33" s="26">
        <v>0</v>
      </c>
      <c r="AI33" s="26">
        <v>0</v>
      </c>
      <c r="AJ33" s="26"/>
      <c r="AK33" s="26">
        <v>0</v>
      </c>
      <c r="AL33" s="26"/>
      <c r="AM33" s="26">
        <v>0</v>
      </c>
      <c r="AN33" s="26"/>
      <c r="AO33" s="26">
        <v>0</v>
      </c>
      <c r="AP33" s="26">
        <v>0</v>
      </c>
      <c r="AQ33" s="26">
        <v>0</v>
      </c>
      <c r="AR33" s="26"/>
      <c r="AS33" s="26">
        <v>5000</v>
      </c>
      <c r="AT33" s="60">
        <f t="shared" si="1"/>
        <v>5000</v>
      </c>
      <c r="AU33" s="88">
        <f t="shared" si="2"/>
        <v>1.7648591904800553E-3</v>
      </c>
    </row>
    <row r="34" spans="1:48" x14ac:dyDescent="0.2">
      <c r="A34" s="55" t="s">
        <v>57</v>
      </c>
      <c r="B34" s="26">
        <v>0</v>
      </c>
      <c r="C34" s="26">
        <v>0</v>
      </c>
      <c r="D34" s="26">
        <v>0</v>
      </c>
      <c r="E34" s="26">
        <v>3409.62</v>
      </c>
      <c r="F34" s="26">
        <v>0</v>
      </c>
      <c r="G34" s="26">
        <v>0</v>
      </c>
      <c r="H34" s="26"/>
      <c r="I34" s="26">
        <v>0</v>
      </c>
      <c r="J34" s="26">
        <v>2780</v>
      </c>
      <c r="K34" s="26">
        <v>0</v>
      </c>
      <c r="L34" s="26">
        <v>0</v>
      </c>
      <c r="M34" s="26">
        <v>0</v>
      </c>
      <c r="N34" s="26"/>
      <c r="O34" s="26"/>
      <c r="P34" s="26"/>
      <c r="Q34" s="26"/>
      <c r="R34" s="26">
        <v>0</v>
      </c>
      <c r="S34" s="26">
        <v>0</v>
      </c>
      <c r="T34" s="26">
        <v>0</v>
      </c>
      <c r="U34" s="26"/>
      <c r="V34" s="26">
        <v>0</v>
      </c>
      <c r="W34" s="26"/>
      <c r="X34" s="26"/>
      <c r="Y34" s="26"/>
      <c r="Z34" s="26">
        <v>0</v>
      </c>
      <c r="AA34" s="26">
        <v>0</v>
      </c>
      <c r="AB34" s="26"/>
      <c r="AC34" s="26">
        <v>0</v>
      </c>
      <c r="AD34" s="26">
        <v>0</v>
      </c>
      <c r="AE34" s="26">
        <v>0</v>
      </c>
      <c r="AF34" s="26">
        <v>0</v>
      </c>
      <c r="AG34" s="26"/>
      <c r="AH34" s="26">
        <v>3942.0000000000005</v>
      </c>
      <c r="AI34" s="26">
        <v>0</v>
      </c>
      <c r="AJ34" s="26"/>
      <c r="AK34" s="26">
        <v>0</v>
      </c>
      <c r="AL34" s="26"/>
      <c r="AM34" s="26">
        <v>0</v>
      </c>
      <c r="AN34" s="26"/>
      <c r="AO34" s="26">
        <v>0</v>
      </c>
      <c r="AP34" s="26">
        <v>0</v>
      </c>
      <c r="AQ34" s="26">
        <v>0</v>
      </c>
      <c r="AR34" s="26"/>
      <c r="AS34" s="26">
        <v>3726.83</v>
      </c>
      <c r="AT34" s="60">
        <f t="shared" si="1"/>
        <v>13858.45</v>
      </c>
      <c r="AU34" s="88">
        <f t="shared" si="2"/>
        <v>4.8916425696616649E-3</v>
      </c>
    </row>
    <row r="35" spans="1:48" x14ac:dyDescent="0.2">
      <c r="A35" s="55" t="s">
        <v>58</v>
      </c>
      <c r="B35" s="26">
        <v>0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/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/>
      <c r="O35" s="26"/>
      <c r="P35" s="26"/>
      <c r="Q35" s="26"/>
      <c r="R35" s="26">
        <v>0</v>
      </c>
      <c r="S35" s="26">
        <v>0</v>
      </c>
      <c r="T35" s="26">
        <v>0</v>
      </c>
      <c r="U35" s="26"/>
      <c r="V35" s="26">
        <v>0</v>
      </c>
      <c r="W35" s="26"/>
      <c r="X35" s="26"/>
      <c r="Y35" s="26"/>
      <c r="Z35" s="26">
        <v>0</v>
      </c>
      <c r="AA35" s="26">
        <v>0</v>
      </c>
      <c r="AB35" s="26"/>
      <c r="AC35" s="26">
        <v>0</v>
      </c>
      <c r="AD35" s="26">
        <v>0</v>
      </c>
      <c r="AE35" s="26">
        <v>0</v>
      </c>
      <c r="AF35" s="26">
        <v>0</v>
      </c>
      <c r="AG35" s="26"/>
      <c r="AH35" s="26">
        <v>0</v>
      </c>
      <c r="AI35" s="26">
        <v>0</v>
      </c>
      <c r="AJ35" s="26"/>
      <c r="AK35" s="26">
        <v>0</v>
      </c>
      <c r="AL35" s="26"/>
      <c r="AM35" s="26">
        <v>0</v>
      </c>
      <c r="AN35" s="26"/>
      <c r="AO35" s="26">
        <v>0</v>
      </c>
      <c r="AP35" s="26">
        <v>0</v>
      </c>
      <c r="AQ35" s="26">
        <v>0</v>
      </c>
      <c r="AR35" s="26"/>
      <c r="AS35" s="26">
        <v>0</v>
      </c>
      <c r="AT35" s="60">
        <f t="shared" si="1"/>
        <v>0</v>
      </c>
      <c r="AU35" s="88">
        <f t="shared" si="2"/>
        <v>0</v>
      </c>
    </row>
    <row r="36" spans="1:48" x14ac:dyDescent="0.2">
      <c r="A36" s="55" t="s">
        <v>59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/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/>
      <c r="O36" s="26"/>
      <c r="P36" s="26"/>
      <c r="Q36" s="26"/>
      <c r="R36" s="26">
        <v>0</v>
      </c>
      <c r="S36" s="26">
        <v>0</v>
      </c>
      <c r="T36" s="26">
        <v>0</v>
      </c>
      <c r="U36" s="26"/>
      <c r="V36" s="26">
        <v>0</v>
      </c>
      <c r="W36" s="26"/>
      <c r="X36" s="26"/>
      <c r="Y36" s="26"/>
      <c r="Z36" s="26">
        <v>0</v>
      </c>
      <c r="AA36" s="26">
        <v>0</v>
      </c>
      <c r="AB36" s="26"/>
      <c r="AC36" s="26">
        <v>0</v>
      </c>
      <c r="AD36" s="26">
        <v>0</v>
      </c>
      <c r="AE36" s="26">
        <v>0</v>
      </c>
      <c r="AF36" s="26">
        <v>0</v>
      </c>
      <c r="AG36" s="26"/>
      <c r="AH36" s="26">
        <v>0</v>
      </c>
      <c r="AI36" s="26">
        <v>0</v>
      </c>
      <c r="AJ36" s="26"/>
      <c r="AK36" s="26">
        <v>0</v>
      </c>
      <c r="AL36" s="26"/>
      <c r="AM36" s="26">
        <v>0</v>
      </c>
      <c r="AN36" s="26"/>
      <c r="AO36" s="26">
        <v>0</v>
      </c>
      <c r="AP36" s="26">
        <v>0</v>
      </c>
      <c r="AQ36" s="26">
        <v>0</v>
      </c>
      <c r="AR36" s="26"/>
      <c r="AS36" s="26">
        <v>0</v>
      </c>
      <c r="AT36" s="60">
        <f t="shared" si="1"/>
        <v>0</v>
      </c>
      <c r="AU36" s="88">
        <f t="shared" si="2"/>
        <v>0</v>
      </c>
    </row>
    <row r="37" spans="1:48" x14ac:dyDescent="0.2">
      <c r="A37" s="55" t="s">
        <v>60</v>
      </c>
      <c r="B37" s="26">
        <v>0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/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/>
      <c r="O37" s="26"/>
      <c r="P37" s="26"/>
      <c r="Q37" s="26"/>
      <c r="R37" s="26">
        <v>0</v>
      </c>
      <c r="S37" s="26">
        <v>0</v>
      </c>
      <c r="T37" s="26">
        <v>0</v>
      </c>
      <c r="U37" s="26"/>
      <c r="V37" s="26">
        <v>0</v>
      </c>
      <c r="W37" s="26"/>
      <c r="X37" s="26"/>
      <c r="Y37" s="26"/>
      <c r="Z37" s="26">
        <v>0</v>
      </c>
      <c r="AA37" s="26">
        <v>0</v>
      </c>
      <c r="AB37" s="26"/>
      <c r="AC37" s="26">
        <v>0</v>
      </c>
      <c r="AD37" s="26">
        <v>0</v>
      </c>
      <c r="AE37" s="26">
        <v>0</v>
      </c>
      <c r="AF37" s="26">
        <v>0</v>
      </c>
      <c r="AG37" s="26"/>
      <c r="AH37" s="26">
        <v>0</v>
      </c>
      <c r="AI37" s="26">
        <v>0</v>
      </c>
      <c r="AJ37" s="26"/>
      <c r="AK37" s="26">
        <v>0</v>
      </c>
      <c r="AL37" s="26"/>
      <c r="AM37" s="26">
        <v>0</v>
      </c>
      <c r="AN37" s="26"/>
      <c r="AO37" s="26">
        <v>0</v>
      </c>
      <c r="AP37" s="26">
        <v>0</v>
      </c>
      <c r="AQ37" s="26">
        <v>0</v>
      </c>
      <c r="AR37" s="26"/>
      <c r="AS37" s="26">
        <v>18400</v>
      </c>
      <c r="AT37" s="60">
        <f t="shared" si="1"/>
        <v>18400</v>
      </c>
      <c r="AU37" s="88">
        <f t="shared" si="2"/>
        <v>6.4946818209666033E-3</v>
      </c>
    </row>
    <row r="38" spans="1:48" x14ac:dyDescent="0.2">
      <c r="A38" s="55" t="s">
        <v>61</v>
      </c>
      <c r="B38" s="26">
        <v>0</v>
      </c>
      <c r="C38" s="26">
        <v>0</v>
      </c>
      <c r="D38" s="26">
        <v>0</v>
      </c>
      <c r="E38" s="26">
        <v>0</v>
      </c>
      <c r="F38" s="26">
        <v>0</v>
      </c>
      <c r="G38" s="26">
        <v>0</v>
      </c>
      <c r="H38" s="26"/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/>
      <c r="O38" s="26"/>
      <c r="P38" s="26"/>
      <c r="Q38" s="26"/>
      <c r="R38" s="26">
        <v>0</v>
      </c>
      <c r="S38" s="26">
        <v>0</v>
      </c>
      <c r="T38" s="26">
        <v>0</v>
      </c>
      <c r="U38" s="26"/>
      <c r="V38" s="26">
        <v>0</v>
      </c>
      <c r="W38" s="26"/>
      <c r="X38" s="26"/>
      <c r="Y38" s="26"/>
      <c r="Z38" s="26">
        <v>0</v>
      </c>
      <c r="AA38" s="26">
        <v>0</v>
      </c>
      <c r="AB38" s="26"/>
      <c r="AC38" s="26">
        <v>0</v>
      </c>
      <c r="AD38" s="26">
        <v>0</v>
      </c>
      <c r="AE38" s="26">
        <v>0</v>
      </c>
      <c r="AF38" s="26">
        <v>0</v>
      </c>
      <c r="AG38" s="26"/>
      <c r="AH38" s="26">
        <v>0</v>
      </c>
      <c r="AI38" s="26">
        <v>0</v>
      </c>
      <c r="AJ38" s="26"/>
      <c r="AK38" s="26">
        <v>0</v>
      </c>
      <c r="AL38" s="26"/>
      <c r="AM38" s="26">
        <v>0</v>
      </c>
      <c r="AN38" s="26"/>
      <c r="AO38" s="26">
        <v>0</v>
      </c>
      <c r="AP38" s="26">
        <v>0</v>
      </c>
      <c r="AQ38" s="26">
        <v>0</v>
      </c>
      <c r="AR38" s="26"/>
      <c r="AS38" s="26">
        <v>0</v>
      </c>
      <c r="AT38" s="60">
        <f t="shared" si="1"/>
        <v>0</v>
      </c>
      <c r="AU38" s="88">
        <f t="shared" si="2"/>
        <v>0</v>
      </c>
    </row>
    <row r="39" spans="1:48" x14ac:dyDescent="0.2">
      <c r="A39" s="76" t="s">
        <v>105</v>
      </c>
      <c r="B39" s="26">
        <v>0</v>
      </c>
      <c r="C39" s="26">
        <v>0</v>
      </c>
      <c r="D39" s="26">
        <v>0</v>
      </c>
      <c r="E39" s="26">
        <v>0</v>
      </c>
      <c r="F39" s="26">
        <v>0</v>
      </c>
      <c r="G39" s="26">
        <v>0</v>
      </c>
      <c r="H39" s="26"/>
      <c r="I39" s="26">
        <v>4096</v>
      </c>
      <c r="J39" s="26">
        <v>0</v>
      </c>
      <c r="K39" s="26">
        <v>0</v>
      </c>
      <c r="L39" s="26">
        <v>0</v>
      </c>
      <c r="M39" s="26">
        <v>0</v>
      </c>
      <c r="N39" s="26"/>
      <c r="O39" s="26"/>
      <c r="P39" s="26"/>
      <c r="Q39" s="26"/>
      <c r="R39" s="26">
        <v>0</v>
      </c>
      <c r="S39" s="26">
        <v>0</v>
      </c>
      <c r="T39" s="26">
        <v>0</v>
      </c>
      <c r="U39" s="26"/>
      <c r="V39" s="26">
        <v>0</v>
      </c>
      <c r="W39" s="26"/>
      <c r="X39" s="26"/>
      <c r="Y39" s="26"/>
      <c r="Z39" s="26">
        <v>0</v>
      </c>
      <c r="AA39" s="26">
        <v>0</v>
      </c>
      <c r="AB39" s="26"/>
      <c r="AC39" s="26">
        <v>0</v>
      </c>
      <c r="AD39" s="26">
        <v>0</v>
      </c>
      <c r="AE39" s="26">
        <v>0</v>
      </c>
      <c r="AF39" s="26">
        <v>0</v>
      </c>
      <c r="AG39" s="26"/>
      <c r="AH39" s="26">
        <v>0</v>
      </c>
      <c r="AI39" s="26">
        <v>0</v>
      </c>
      <c r="AJ39" s="26"/>
      <c r="AK39" s="26">
        <v>0</v>
      </c>
      <c r="AL39" s="26"/>
      <c r="AM39" s="26">
        <v>0</v>
      </c>
      <c r="AN39" s="26"/>
      <c r="AO39" s="26">
        <v>0</v>
      </c>
      <c r="AP39" s="26">
        <v>0</v>
      </c>
      <c r="AQ39" s="26">
        <v>0</v>
      </c>
      <c r="AR39" s="26"/>
      <c r="AS39" s="26">
        <v>13052.1</v>
      </c>
      <c r="AT39" s="60">
        <f t="shared" si="1"/>
        <v>17148.099999999999</v>
      </c>
      <c r="AU39" s="88">
        <f t="shared" si="2"/>
        <v>6.0527963768542067E-3</v>
      </c>
    </row>
    <row r="40" spans="1:48" x14ac:dyDescent="0.2">
      <c r="A40" s="55" t="s">
        <v>62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/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/>
      <c r="O40" s="26"/>
      <c r="P40" s="26"/>
      <c r="Q40" s="26"/>
      <c r="R40" s="26">
        <v>0</v>
      </c>
      <c r="S40" s="26">
        <v>0</v>
      </c>
      <c r="T40" s="26">
        <v>0</v>
      </c>
      <c r="U40" s="26"/>
      <c r="V40" s="26">
        <v>0</v>
      </c>
      <c r="W40" s="26"/>
      <c r="X40" s="26"/>
      <c r="Y40" s="26"/>
      <c r="Z40" s="26">
        <v>0</v>
      </c>
      <c r="AA40" s="26">
        <v>0</v>
      </c>
      <c r="AB40" s="26"/>
      <c r="AC40" s="26">
        <v>0</v>
      </c>
      <c r="AD40" s="26">
        <v>0</v>
      </c>
      <c r="AE40" s="26">
        <v>0</v>
      </c>
      <c r="AF40" s="26">
        <v>0</v>
      </c>
      <c r="AG40" s="26"/>
      <c r="AH40" s="26">
        <v>0</v>
      </c>
      <c r="AI40" s="26">
        <v>0</v>
      </c>
      <c r="AJ40" s="26"/>
      <c r="AK40" s="26">
        <v>0</v>
      </c>
      <c r="AL40" s="26"/>
      <c r="AM40" s="26">
        <v>0</v>
      </c>
      <c r="AN40" s="26"/>
      <c r="AO40" s="26">
        <v>0</v>
      </c>
      <c r="AP40" s="26">
        <v>0</v>
      </c>
      <c r="AQ40" s="26">
        <v>0</v>
      </c>
      <c r="AR40" s="26"/>
      <c r="AS40" s="26">
        <v>565000</v>
      </c>
      <c r="AT40" s="60">
        <f t="shared" si="1"/>
        <v>565000</v>
      </c>
      <c r="AU40" s="88">
        <f t="shared" si="2"/>
        <v>0.19942908852424626</v>
      </c>
      <c r="AV40" s="55" t="s">
        <v>68</v>
      </c>
    </row>
    <row r="41" spans="1:48" x14ac:dyDescent="0.2">
      <c r="A41" s="55" t="s">
        <v>63</v>
      </c>
      <c r="B41" s="26">
        <v>0</v>
      </c>
      <c r="C41" s="26">
        <v>0</v>
      </c>
      <c r="D41" s="26">
        <v>0</v>
      </c>
      <c r="E41" s="26">
        <v>0</v>
      </c>
      <c r="F41" s="26">
        <v>0</v>
      </c>
      <c r="G41" s="26">
        <v>0</v>
      </c>
      <c r="H41" s="26"/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/>
      <c r="O41" s="26"/>
      <c r="P41" s="26"/>
      <c r="Q41" s="26"/>
      <c r="R41" s="26">
        <v>0</v>
      </c>
      <c r="S41" s="26">
        <v>0</v>
      </c>
      <c r="T41" s="26">
        <v>0</v>
      </c>
      <c r="U41" s="26"/>
      <c r="V41" s="26">
        <v>0</v>
      </c>
      <c r="W41" s="26"/>
      <c r="X41" s="26"/>
      <c r="Y41" s="26"/>
      <c r="Z41" s="26">
        <v>0</v>
      </c>
      <c r="AA41" s="26">
        <v>0</v>
      </c>
      <c r="AB41" s="26"/>
      <c r="AC41" s="26">
        <v>0</v>
      </c>
      <c r="AD41" s="26">
        <v>0</v>
      </c>
      <c r="AE41" s="26">
        <v>0</v>
      </c>
      <c r="AF41" s="26">
        <v>0</v>
      </c>
      <c r="AG41" s="26"/>
      <c r="AH41" s="26">
        <v>0</v>
      </c>
      <c r="AI41" s="26">
        <v>0</v>
      </c>
      <c r="AJ41" s="26"/>
      <c r="AK41" s="26">
        <v>0</v>
      </c>
      <c r="AL41" s="26"/>
      <c r="AM41" s="26"/>
      <c r="AN41" s="26"/>
      <c r="AO41" s="26">
        <v>0</v>
      </c>
      <c r="AP41" s="26">
        <v>0</v>
      </c>
      <c r="AQ41" s="26">
        <v>0</v>
      </c>
      <c r="AR41" s="26"/>
      <c r="AS41" s="26">
        <v>264</v>
      </c>
      <c r="AT41" s="60">
        <f t="shared" si="1"/>
        <v>264</v>
      </c>
      <c r="AU41" s="88">
        <f t="shared" si="2"/>
        <v>9.3184565257346919E-5</v>
      </c>
    </row>
    <row r="42" spans="1:48" x14ac:dyDescent="0.2">
      <c r="A42" s="55" t="s">
        <v>81</v>
      </c>
      <c r="B42" s="26">
        <v>66.730000000000018</v>
      </c>
      <c r="C42" s="26">
        <v>152.97000000000003</v>
      </c>
      <c r="D42" s="26">
        <v>138.07999999999998</v>
      </c>
      <c r="E42" s="26">
        <v>24.139999999999873</v>
      </c>
      <c r="F42" s="26">
        <v>0</v>
      </c>
      <c r="G42" s="26">
        <v>118.19000000000005</v>
      </c>
      <c r="H42" s="26"/>
      <c r="I42" s="26">
        <v>208.11</v>
      </c>
      <c r="J42" s="26">
        <v>46.470000000000027</v>
      </c>
      <c r="K42" s="26">
        <v>0</v>
      </c>
      <c r="L42" s="26">
        <v>39.779999999999973</v>
      </c>
      <c r="M42" s="26">
        <v>92.460000000000036</v>
      </c>
      <c r="N42" s="26"/>
      <c r="O42" s="26"/>
      <c r="P42" s="26"/>
      <c r="Q42" s="26"/>
      <c r="R42" s="26">
        <v>79.309999999999945</v>
      </c>
      <c r="S42" s="26">
        <v>164.36</v>
      </c>
      <c r="T42" s="26">
        <v>102.20000000000005</v>
      </c>
      <c r="U42" s="26"/>
      <c r="V42" s="26">
        <v>51.47</v>
      </c>
      <c r="W42" s="26"/>
      <c r="X42" s="26"/>
      <c r="Y42" s="26"/>
      <c r="Z42" s="26">
        <v>24.139999999999986</v>
      </c>
      <c r="AA42" s="26">
        <v>208.82000000000005</v>
      </c>
      <c r="AB42" s="26"/>
      <c r="AC42" s="26">
        <v>196.12</v>
      </c>
      <c r="AD42" s="26">
        <v>77.199999999999989</v>
      </c>
      <c r="AE42" s="26">
        <v>0</v>
      </c>
      <c r="AF42" s="26">
        <v>77.200000000000045</v>
      </c>
      <c r="AG42" s="26"/>
      <c r="AH42" s="26">
        <v>214.87000000000012</v>
      </c>
      <c r="AI42" s="26">
        <v>150.66999999999985</v>
      </c>
      <c r="AJ42" s="26"/>
      <c r="AK42" s="26">
        <v>104.19999999999993</v>
      </c>
      <c r="AL42" s="26"/>
      <c r="AM42" s="26"/>
      <c r="AN42" s="26"/>
      <c r="AO42" s="26">
        <v>59.610000000000014</v>
      </c>
      <c r="AP42" s="26">
        <v>0</v>
      </c>
      <c r="AQ42" s="26">
        <v>0</v>
      </c>
      <c r="AR42" s="26"/>
      <c r="AS42" s="26">
        <v>144.83000000000001</v>
      </c>
      <c r="AT42" s="60">
        <f t="shared" si="1"/>
        <v>2541.9299999999998</v>
      </c>
      <c r="AU42" s="88">
        <f t="shared" si="2"/>
        <v>8.9722970441139329E-4</v>
      </c>
    </row>
    <row r="43" spans="1:48" x14ac:dyDescent="0.2">
      <c r="A43" s="55" t="s">
        <v>64</v>
      </c>
      <c r="B43" s="26">
        <v>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/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/>
      <c r="O43" s="26"/>
      <c r="P43" s="26"/>
      <c r="Q43" s="26"/>
      <c r="R43" s="26">
        <v>0</v>
      </c>
      <c r="S43" s="26">
        <v>0</v>
      </c>
      <c r="T43" s="26">
        <v>0</v>
      </c>
      <c r="U43" s="26"/>
      <c r="V43" s="26">
        <v>0</v>
      </c>
      <c r="W43" s="26"/>
      <c r="X43" s="26"/>
      <c r="Y43" s="26"/>
      <c r="Z43" s="26">
        <v>0</v>
      </c>
      <c r="AA43" s="26">
        <v>0</v>
      </c>
      <c r="AB43" s="26"/>
      <c r="AC43" s="26">
        <v>0</v>
      </c>
      <c r="AD43" s="26">
        <v>0</v>
      </c>
      <c r="AE43" s="26">
        <v>0</v>
      </c>
      <c r="AF43" s="26">
        <v>0</v>
      </c>
      <c r="AG43" s="26"/>
      <c r="AH43" s="26">
        <v>0</v>
      </c>
      <c r="AI43" s="26">
        <v>0</v>
      </c>
      <c r="AJ43" s="26"/>
      <c r="AK43" s="26">
        <v>0</v>
      </c>
      <c r="AL43" s="26"/>
      <c r="AM43" s="26"/>
      <c r="AN43" s="26"/>
      <c r="AO43" s="26">
        <v>0</v>
      </c>
      <c r="AP43" s="26">
        <v>0</v>
      </c>
      <c r="AQ43" s="26">
        <v>0</v>
      </c>
      <c r="AR43" s="26"/>
      <c r="AS43" s="26">
        <v>75983.56</v>
      </c>
      <c r="AT43" s="60">
        <f t="shared" si="1"/>
        <v>75983.56</v>
      </c>
      <c r="AU43" s="88">
        <f t="shared" si="2"/>
        <v>2.6820056838278542E-2</v>
      </c>
    </row>
    <row r="44" spans="1:48" x14ac:dyDescent="0.2">
      <c r="A44" s="55" t="s">
        <v>66</v>
      </c>
      <c r="B44" s="26">
        <v>0</v>
      </c>
      <c r="C44" s="26">
        <v>0</v>
      </c>
      <c r="D44" s="26">
        <v>0</v>
      </c>
      <c r="E44" s="26">
        <v>200</v>
      </c>
      <c r="F44" s="26">
        <v>0</v>
      </c>
      <c r="G44" s="26">
        <v>0</v>
      </c>
      <c r="H44" s="26"/>
      <c r="I44" s="26">
        <v>50</v>
      </c>
      <c r="J44" s="26">
        <v>0</v>
      </c>
      <c r="K44" s="26">
        <v>0</v>
      </c>
      <c r="L44" s="26">
        <v>100</v>
      </c>
      <c r="M44" s="26">
        <v>0</v>
      </c>
      <c r="N44" s="26"/>
      <c r="O44" s="26"/>
      <c r="P44" s="26"/>
      <c r="Q44" s="26"/>
      <c r="R44" s="26">
        <v>0</v>
      </c>
      <c r="S44" s="26">
        <v>0</v>
      </c>
      <c r="T44" s="26">
        <v>0</v>
      </c>
      <c r="U44" s="26"/>
      <c r="V44" s="26">
        <v>0</v>
      </c>
      <c r="W44" s="26"/>
      <c r="X44" s="26"/>
      <c r="Y44" s="26"/>
      <c r="Z44" s="26">
        <v>940</v>
      </c>
      <c r="AA44" s="26">
        <v>0</v>
      </c>
      <c r="AB44" s="26"/>
      <c r="AC44" s="26">
        <v>0</v>
      </c>
      <c r="AD44" s="26">
        <v>220</v>
      </c>
      <c r="AE44" s="26">
        <v>0</v>
      </c>
      <c r="AF44" s="26">
        <v>60</v>
      </c>
      <c r="AG44" s="26"/>
      <c r="AH44" s="26">
        <v>0</v>
      </c>
      <c r="AI44" s="26">
        <v>0</v>
      </c>
      <c r="AJ44" s="26"/>
      <c r="AK44" s="26">
        <v>0</v>
      </c>
      <c r="AL44" s="26"/>
      <c r="AM44" s="26"/>
      <c r="AN44" s="26"/>
      <c r="AO44" s="26">
        <v>0</v>
      </c>
      <c r="AP44" s="26">
        <v>290</v>
      </c>
      <c r="AQ44" s="26">
        <v>0</v>
      </c>
      <c r="AR44" s="26"/>
      <c r="AS44" s="26">
        <v>7381.91</v>
      </c>
      <c r="AT44" s="60">
        <f t="shared" si="1"/>
        <v>9241.91</v>
      </c>
      <c r="AU44" s="88">
        <f t="shared" si="2"/>
        <v>3.2621339602179056E-3</v>
      </c>
    </row>
    <row r="45" spans="1:48" ht="12.75" thickBot="1" x14ac:dyDescent="0.25">
      <c r="A45" s="59" t="s">
        <v>67</v>
      </c>
      <c r="B45" s="96">
        <f>SUM(B15:B44)</f>
        <v>159696.89000000013</v>
      </c>
      <c r="C45" s="96">
        <f t="shared" ref="C45:AS45" si="3">SUM(C15:C44)</f>
        <v>3177</v>
      </c>
      <c r="D45" s="96">
        <f t="shared" si="3"/>
        <v>36965.799999999996</v>
      </c>
      <c r="E45" s="96">
        <f t="shared" si="3"/>
        <v>63185.14999999998</v>
      </c>
      <c r="F45" s="96">
        <f t="shared" si="3"/>
        <v>161449.26999999996</v>
      </c>
      <c r="G45" s="96">
        <f t="shared" si="3"/>
        <v>39617.690000000017</v>
      </c>
      <c r="H45" s="96">
        <f t="shared" si="3"/>
        <v>0</v>
      </c>
      <c r="I45" s="96">
        <f t="shared" si="3"/>
        <v>263348.11999999982</v>
      </c>
      <c r="J45" s="96">
        <f t="shared" si="3"/>
        <v>107563.36000000002</v>
      </c>
      <c r="K45" s="96">
        <f t="shared" si="3"/>
        <v>12164.09</v>
      </c>
      <c r="L45" s="96">
        <f t="shared" si="3"/>
        <v>51114.980000000061</v>
      </c>
      <c r="M45" s="96">
        <f t="shared" si="3"/>
        <v>37282.170000000006</v>
      </c>
      <c r="N45" s="96">
        <f t="shared" si="3"/>
        <v>0</v>
      </c>
      <c r="O45" s="96">
        <f t="shared" si="3"/>
        <v>0</v>
      </c>
      <c r="P45" s="96">
        <f t="shared" si="3"/>
        <v>0</v>
      </c>
      <c r="Q45" s="96">
        <f t="shared" si="3"/>
        <v>0</v>
      </c>
      <c r="R45" s="96">
        <f t="shared" si="3"/>
        <v>39927.900000000081</v>
      </c>
      <c r="S45" s="96">
        <f t="shared" si="3"/>
        <v>71449.189999999988</v>
      </c>
      <c r="T45" s="96">
        <f t="shared" si="3"/>
        <v>30983.03</v>
      </c>
      <c r="U45" s="96">
        <f t="shared" si="3"/>
        <v>0</v>
      </c>
      <c r="V45" s="96">
        <f t="shared" si="3"/>
        <v>37819.409999999996</v>
      </c>
      <c r="W45" s="96">
        <f t="shared" si="3"/>
        <v>0</v>
      </c>
      <c r="X45" s="96">
        <f t="shared" si="3"/>
        <v>0</v>
      </c>
      <c r="Y45" s="96">
        <f t="shared" si="3"/>
        <v>0</v>
      </c>
      <c r="Z45" s="96">
        <f t="shared" si="3"/>
        <v>17817.239999999998</v>
      </c>
      <c r="AA45" s="96">
        <f t="shared" si="3"/>
        <v>25355.48000000001</v>
      </c>
      <c r="AB45" s="96">
        <f t="shared" si="3"/>
        <v>0</v>
      </c>
      <c r="AC45" s="96">
        <f t="shared" si="3"/>
        <v>49707.820000000043</v>
      </c>
      <c r="AD45" s="96">
        <f t="shared" si="3"/>
        <v>23563.160000000007</v>
      </c>
      <c r="AE45" s="96">
        <f t="shared" si="3"/>
        <v>12467.689999999999</v>
      </c>
      <c r="AF45" s="96">
        <f t="shared" si="3"/>
        <v>51896.139999999985</v>
      </c>
      <c r="AG45" s="96">
        <f t="shared" si="3"/>
        <v>0</v>
      </c>
      <c r="AH45" s="96">
        <f t="shared" si="3"/>
        <v>178383.18000000005</v>
      </c>
      <c r="AI45" s="96">
        <f t="shared" si="3"/>
        <v>23370.029999999995</v>
      </c>
      <c r="AJ45" s="96">
        <f t="shared" si="3"/>
        <v>0</v>
      </c>
      <c r="AK45" s="96">
        <f t="shared" si="3"/>
        <v>39835.499999999993</v>
      </c>
      <c r="AL45" s="96">
        <f>SUM(AL15:AL44)</f>
        <v>0</v>
      </c>
      <c r="AM45" s="96">
        <f>SUM(AM15:AM44)</f>
        <v>22903.149999999998</v>
      </c>
      <c r="AN45" s="96">
        <f t="shared" ref="AN45:AR45" si="4">SUM(AN15:AN44)</f>
        <v>0</v>
      </c>
      <c r="AO45" s="96">
        <f t="shared" si="4"/>
        <v>12606.1</v>
      </c>
      <c r="AP45" s="96">
        <f t="shared" si="4"/>
        <v>102476.29000000001</v>
      </c>
      <c r="AQ45" s="96">
        <f t="shared" si="4"/>
        <v>11761.93</v>
      </c>
      <c r="AR45" s="96">
        <f t="shared" si="4"/>
        <v>0</v>
      </c>
      <c r="AS45" s="96">
        <f t="shared" si="3"/>
        <v>1145199.4500000002</v>
      </c>
      <c r="AT45" s="96">
        <f>SUM(AT15:AT44)</f>
        <v>2833087.2100000009</v>
      </c>
      <c r="AU45" s="81">
        <f>SUM(AU15:AU44)</f>
        <v>0.99999999999999978</v>
      </c>
    </row>
    <row r="46" spans="1:48" ht="12.75" thickTop="1" x14ac:dyDescent="0.2">
      <c r="D46" s="55" t="s">
        <v>68</v>
      </c>
      <c r="E46" s="55" t="s">
        <v>68</v>
      </c>
      <c r="F46" s="55" t="s">
        <v>68</v>
      </c>
      <c r="G46" s="55" t="s">
        <v>68</v>
      </c>
      <c r="H46" s="55" t="s">
        <v>68</v>
      </c>
      <c r="I46" s="55" t="s">
        <v>68</v>
      </c>
      <c r="J46" s="55" t="s">
        <v>68</v>
      </c>
      <c r="K46" s="55" t="s">
        <v>68</v>
      </c>
      <c r="L46" s="55" t="s">
        <v>68</v>
      </c>
      <c r="M46" s="55" t="s">
        <v>68</v>
      </c>
      <c r="N46" s="55" t="s">
        <v>68</v>
      </c>
      <c r="O46" s="55" t="s">
        <v>68</v>
      </c>
      <c r="P46" s="55" t="s">
        <v>68</v>
      </c>
      <c r="Q46" s="55" t="s">
        <v>68</v>
      </c>
      <c r="R46" s="55" t="s">
        <v>68</v>
      </c>
      <c r="S46" s="55" t="s">
        <v>68</v>
      </c>
      <c r="AT46" s="56" t="s">
        <v>68</v>
      </c>
    </row>
    <row r="47" spans="1:48" ht="12.75" thickBot="1" x14ac:dyDescent="0.25">
      <c r="A47" s="59" t="s">
        <v>69</v>
      </c>
      <c r="B47" s="59">
        <f>+B13-B45</f>
        <v>153303.10999999987</v>
      </c>
      <c r="C47" s="59">
        <f t="shared" ref="C47:Z47" si="5">+C13-C45</f>
        <v>102323</v>
      </c>
      <c r="D47" s="59">
        <f t="shared" si="5"/>
        <v>19784.200000000004</v>
      </c>
      <c r="E47" s="59">
        <f t="shared" si="5"/>
        <v>47434.270000000062</v>
      </c>
      <c r="F47" s="59">
        <f t="shared" si="5"/>
        <v>111450.73000000004</v>
      </c>
      <c r="G47" s="59">
        <f>+G13-G45</f>
        <v>19132.309999999983</v>
      </c>
      <c r="H47" s="59">
        <f t="shared" si="5"/>
        <v>0</v>
      </c>
      <c r="I47" s="59">
        <f t="shared" si="5"/>
        <v>201551.88000000018</v>
      </c>
      <c r="J47" s="59">
        <f t="shared" si="5"/>
        <v>79148.500000000087</v>
      </c>
      <c r="K47" s="59">
        <f t="shared" si="5"/>
        <v>6835.91</v>
      </c>
      <c r="L47" s="59">
        <f t="shared" si="5"/>
        <v>37185.019999999939</v>
      </c>
      <c r="M47" s="59">
        <f t="shared" si="5"/>
        <v>37917.829999999994</v>
      </c>
      <c r="N47" s="59">
        <f t="shared" si="5"/>
        <v>0</v>
      </c>
      <c r="O47" s="59">
        <f t="shared" si="5"/>
        <v>0</v>
      </c>
      <c r="P47" s="59">
        <f t="shared" si="5"/>
        <v>0</v>
      </c>
      <c r="Q47" s="59">
        <f t="shared" si="5"/>
        <v>0</v>
      </c>
      <c r="R47" s="59">
        <f t="shared" si="5"/>
        <v>57822.099999999919</v>
      </c>
      <c r="S47" s="59">
        <f t="shared" si="5"/>
        <v>26800.810000000012</v>
      </c>
      <c r="T47" s="59">
        <f t="shared" si="5"/>
        <v>24766.97</v>
      </c>
      <c r="U47" s="59">
        <f t="shared" si="5"/>
        <v>0</v>
      </c>
      <c r="V47" s="59">
        <f t="shared" si="5"/>
        <v>16180.590000000004</v>
      </c>
      <c r="W47" s="59">
        <f t="shared" si="5"/>
        <v>0</v>
      </c>
      <c r="X47" s="59">
        <f t="shared" si="5"/>
        <v>0</v>
      </c>
      <c r="Y47" s="59">
        <f>+Y13-Y45</f>
        <v>0</v>
      </c>
      <c r="Z47" s="59">
        <f t="shared" si="5"/>
        <v>18182.760000000002</v>
      </c>
      <c r="AA47" s="59">
        <f>+AA13-AA45</f>
        <v>12644.51999999999</v>
      </c>
      <c r="AB47" s="59">
        <f>+AB13-AB45</f>
        <v>0</v>
      </c>
      <c r="AC47" s="59">
        <f>+AC13-AC45</f>
        <v>36792.179999999957</v>
      </c>
      <c r="AD47" s="59">
        <f>+AD13-AD45</f>
        <v>14436.839999999993</v>
      </c>
      <c r="AE47" s="59">
        <f t="shared" ref="AE47:AJ47" si="6">+AE13-AE45</f>
        <v>7032.3100000000013</v>
      </c>
      <c r="AF47" s="59">
        <f t="shared" si="6"/>
        <v>32603.860000000015</v>
      </c>
      <c r="AG47" s="59">
        <f t="shared" si="6"/>
        <v>0</v>
      </c>
      <c r="AH47" s="59">
        <f t="shared" si="6"/>
        <v>93116.819999999949</v>
      </c>
      <c r="AI47" s="59">
        <f t="shared" si="6"/>
        <v>32379.970000000005</v>
      </c>
      <c r="AJ47" s="59">
        <f t="shared" si="6"/>
        <v>0</v>
      </c>
      <c r="AK47" s="59">
        <f>+AK13-AK45</f>
        <v>17364.500000000007</v>
      </c>
      <c r="AL47" s="59">
        <f>+AL13-AL45</f>
        <v>0</v>
      </c>
      <c r="AM47" s="59">
        <f>+AM13-AM45</f>
        <v>18096.850000000002</v>
      </c>
      <c r="AN47" s="59">
        <f t="shared" ref="AN47:AS47" si="7">+AN13-AN45</f>
        <v>0</v>
      </c>
      <c r="AO47" s="59">
        <f t="shared" si="7"/>
        <v>5893.9</v>
      </c>
      <c r="AP47" s="59">
        <f t="shared" si="7"/>
        <v>129523.70999999999</v>
      </c>
      <c r="AQ47" s="59">
        <f t="shared" si="7"/>
        <v>6938.07</v>
      </c>
      <c r="AR47" s="59">
        <f t="shared" si="7"/>
        <v>0</v>
      </c>
      <c r="AS47" s="59">
        <f t="shared" si="7"/>
        <v>-1145199.4500000002</v>
      </c>
      <c r="AT47" s="59">
        <f>SUM(B47:AS47)</f>
        <v>221444.06999999983</v>
      </c>
      <c r="AU47" s="97"/>
    </row>
    <row r="48" spans="1:48" ht="12.75" thickTop="1" x14ac:dyDescent="0.2"/>
    <row r="49" spans="1:48" x14ac:dyDescent="0.2">
      <c r="A49" s="55" t="s">
        <v>70</v>
      </c>
      <c r="B49" s="55">
        <f>30950+24300</f>
        <v>55250</v>
      </c>
      <c r="C49" s="55">
        <f>8450+17100</f>
        <v>25550</v>
      </c>
      <c r="D49" s="55">
        <f>8650+300</f>
        <v>8950</v>
      </c>
      <c r="E49" s="55">
        <f>14700+6600</f>
        <v>21300</v>
      </c>
      <c r="F49" s="55">
        <f>37550+9600</f>
        <v>47150</v>
      </c>
      <c r="G49" s="55">
        <v>800</v>
      </c>
      <c r="I49" s="55">
        <f>65660+8400</f>
        <v>74060</v>
      </c>
      <c r="J49" s="55">
        <f>24666.84+17400</f>
        <v>42066.84</v>
      </c>
      <c r="L49" s="55">
        <f>10950+3600</f>
        <v>14550</v>
      </c>
      <c r="M49" s="55">
        <f>2100+300</f>
        <v>2400</v>
      </c>
      <c r="R49" s="55">
        <f>14500+15600</f>
        <v>30100</v>
      </c>
      <c r="S49" s="55">
        <f>15690+4200</f>
        <v>19890</v>
      </c>
      <c r="T49" s="55">
        <f>7200+3000</f>
        <v>10200</v>
      </c>
      <c r="V49" s="55">
        <v>2940</v>
      </c>
      <c r="Z49" s="55">
        <v>4200</v>
      </c>
      <c r="AA49" s="55">
        <f>1400+600</f>
        <v>2000</v>
      </c>
      <c r="AC49" s="55">
        <f>10900+1500</f>
        <v>12400</v>
      </c>
      <c r="AD49" s="55">
        <f>4150+1200</f>
        <v>5350</v>
      </c>
      <c r="AF49" s="55">
        <f>13250+7500</f>
        <v>20750</v>
      </c>
      <c r="AH49" s="55">
        <f>28660+5700</f>
        <v>34360</v>
      </c>
      <c r="AI49" s="55">
        <v>7623.32</v>
      </c>
      <c r="AK49" s="55">
        <v>2850</v>
      </c>
      <c r="AM49" s="55">
        <f>2600+600</f>
        <v>3200</v>
      </c>
      <c r="AO49" s="55">
        <v>500</v>
      </c>
      <c r="AP49" s="55">
        <f>24716.66+32700</f>
        <v>57416.66</v>
      </c>
      <c r="AQ49" s="55">
        <v>1300</v>
      </c>
      <c r="AS49" s="55">
        <v>7975</v>
      </c>
      <c r="AT49" s="56">
        <f>SUM(B49:AS49)</f>
        <v>515131.81999999995</v>
      </c>
      <c r="AU49" s="55"/>
    </row>
    <row r="50" spans="1:48" s="26" customFormat="1" x14ac:dyDescent="0.2">
      <c r="A50" s="98" t="s">
        <v>71</v>
      </c>
      <c r="B50" s="98">
        <f>+B47-B49</f>
        <v>98053.10999999987</v>
      </c>
      <c r="C50" s="98">
        <f t="shared" ref="C50:AS50" si="8">+C47-C49</f>
        <v>76773</v>
      </c>
      <c r="D50" s="98">
        <f t="shared" si="8"/>
        <v>10834.200000000004</v>
      </c>
      <c r="E50" s="98">
        <f t="shared" si="8"/>
        <v>26134.270000000062</v>
      </c>
      <c r="F50" s="98">
        <f t="shared" si="8"/>
        <v>64300.73000000004</v>
      </c>
      <c r="G50" s="98">
        <f t="shared" si="8"/>
        <v>18332.309999999983</v>
      </c>
      <c r="H50" s="98">
        <f t="shared" si="8"/>
        <v>0</v>
      </c>
      <c r="I50" s="98">
        <f t="shared" si="8"/>
        <v>127491.88000000018</v>
      </c>
      <c r="J50" s="98">
        <f t="shared" si="8"/>
        <v>37081.660000000091</v>
      </c>
      <c r="K50" s="98">
        <f t="shared" si="8"/>
        <v>6835.91</v>
      </c>
      <c r="L50" s="98">
        <f t="shared" si="8"/>
        <v>22635.019999999939</v>
      </c>
      <c r="M50" s="98">
        <f t="shared" si="8"/>
        <v>35517.829999999994</v>
      </c>
      <c r="N50" s="98">
        <f t="shared" si="8"/>
        <v>0</v>
      </c>
      <c r="O50" s="98">
        <f t="shared" si="8"/>
        <v>0</v>
      </c>
      <c r="P50" s="98">
        <f t="shared" si="8"/>
        <v>0</v>
      </c>
      <c r="Q50" s="98">
        <f t="shared" si="8"/>
        <v>0</v>
      </c>
      <c r="R50" s="98">
        <f t="shared" si="8"/>
        <v>27722.099999999919</v>
      </c>
      <c r="S50" s="98">
        <f t="shared" si="8"/>
        <v>6910.8100000000122</v>
      </c>
      <c r="T50" s="98">
        <f t="shared" si="8"/>
        <v>14566.970000000001</v>
      </c>
      <c r="U50" s="98">
        <f t="shared" si="8"/>
        <v>0</v>
      </c>
      <c r="V50" s="98">
        <f t="shared" si="8"/>
        <v>13240.590000000004</v>
      </c>
      <c r="W50" s="98">
        <f t="shared" si="8"/>
        <v>0</v>
      </c>
      <c r="X50" s="98">
        <f t="shared" si="8"/>
        <v>0</v>
      </c>
      <c r="Y50" s="98">
        <f t="shared" si="8"/>
        <v>0</v>
      </c>
      <c r="Z50" s="98">
        <f t="shared" si="8"/>
        <v>13982.760000000002</v>
      </c>
      <c r="AA50" s="98">
        <f t="shared" si="8"/>
        <v>10644.51999999999</v>
      </c>
      <c r="AB50" s="98">
        <f t="shared" si="8"/>
        <v>0</v>
      </c>
      <c r="AC50" s="98">
        <f t="shared" si="8"/>
        <v>24392.179999999957</v>
      </c>
      <c r="AD50" s="98">
        <f t="shared" si="8"/>
        <v>9086.8399999999929</v>
      </c>
      <c r="AE50" s="98">
        <f t="shared" si="8"/>
        <v>7032.3100000000013</v>
      </c>
      <c r="AF50" s="98">
        <f t="shared" si="8"/>
        <v>11853.860000000015</v>
      </c>
      <c r="AG50" s="98">
        <f t="shared" si="8"/>
        <v>0</v>
      </c>
      <c r="AH50" s="98">
        <f t="shared" si="8"/>
        <v>58756.819999999949</v>
      </c>
      <c r="AI50" s="98">
        <f t="shared" si="8"/>
        <v>24756.650000000005</v>
      </c>
      <c r="AJ50" s="98">
        <f t="shared" si="8"/>
        <v>0</v>
      </c>
      <c r="AK50" s="98">
        <f t="shared" si="8"/>
        <v>14514.500000000007</v>
      </c>
      <c r="AL50" s="98">
        <f t="shared" si="8"/>
        <v>0</v>
      </c>
      <c r="AM50" s="98">
        <f t="shared" si="8"/>
        <v>14896.850000000002</v>
      </c>
      <c r="AN50" s="98">
        <f t="shared" si="8"/>
        <v>0</v>
      </c>
      <c r="AO50" s="98">
        <f t="shared" si="8"/>
        <v>5393.9</v>
      </c>
      <c r="AP50" s="98">
        <f t="shared" si="8"/>
        <v>72107.049999999988</v>
      </c>
      <c r="AQ50" s="98">
        <f t="shared" si="8"/>
        <v>5638.07</v>
      </c>
      <c r="AR50" s="98">
        <f t="shared" si="8"/>
        <v>0</v>
      </c>
      <c r="AS50" s="98">
        <f t="shared" si="8"/>
        <v>-1153174.4500000002</v>
      </c>
      <c r="AT50" s="99">
        <f>SUM(B50:AS50)-AT53-AT54-AT55+AT56</f>
        <v>109106.39644999988</v>
      </c>
      <c r="AU50" s="100"/>
    </row>
    <row r="51" spans="1:48" x14ac:dyDescent="0.2">
      <c r="AT51" s="56">
        <v>109106.4</v>
      </c>
      <c r="AU51" s="101" t="s">
        <v>72</v>
      </c>
      <c r="AV51" s="55" t="s">
        <v>106</v>
      </c>
    </row>
    <row r="52" spans="1:48" x14ac:dyDescent="0.2">
      <c r="AT52" s="102">
        <f>+AT50-AT51</f>
        <v>-3.5500001104082912E-3</v>
      </c>
      <c r="AU52" s="103" t="s">
        <v>82</v>
      </c>
    </row>
    <row r="53" spans="1:48" x14ac:dyDescent="0.2">
      <c r="A53" s="86" t="s">
        <v>78</v>
      </c>
      <c r="B53" s="86"/>
      <c r="C53" s="86"/>
      <c r="D53" s="86"/>
      <c r="E53" s="86">
        <f>+E50*8.5%</f>
        <v>2221.4129500000054</v>
      </c>
      <c r="F53" s="86"/>
      <c r="G53" s="86">
        <f>+G50*8.5%</f>
        <v>1558.2463499999988</v>
      </c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>
        <f>+V50*8.5%</f>
        <v>1125.4501500000003</v>
      </c>
      <c r="W53" s="86">
        <f>+W50*8.5%</f>
        <v>0</v>
      </c>
      <c r="X53" s="86"/>
      <c r="Y53" s="86">
        <f>+Y50*8.5%</f>
        <v>0</v>
      </c>
      <c r="Z53" s="86">
        <f>+Z50*8.5%</f>
        <v>1188.5346000000002</v>
      </c>
      <c r="AA53" s="86">
        <f>+AA50*8.5%</f>
        <v>904.78419999999915</v>
      </c>
      <c r="AB53" s="86"/>
      <c r="AC53" s="86">
        <f>(AC50-AC54)*8.5%</f>
        <v>1860.8352999999966</v>
      </c>
      <c r="AD53" s="86"/>
      <c r="AE53" s="86"/>
      <c r="AF53" s="86"/>
      <c r="AG53" s="86">
        <f>+AG50*8.5%</f>
        <v>0</v>
      </c>
      <c r="AH53" s="86"/>
      <c r="AI53" s="86"/>
      <c r="AJ53" s="86">
        <f>+AJ50*8.5%</f>
        <v>0</v>
      </c>
      <c r="AK53" s="86"/>
      <c r="AL53" s="86">
        <f>+AL50*8.5%</f>
        <v>0</v>
      </c>
      <c r="AM53" s="86"/>
      <c r="AN53" s="86">
        <f>+AN50*8.5%</f>
        <v>0</v>
      </c>
      <c r="AO53" s="86"/>
      <c r="AP53" s="86"/>
      <c r="AQ53" s="86"/>
      <c r="AR53" s="86"/>
      <c r="AS53" s="86"/>
      <c r="AT53" s="87">
        <f>SUM(B53:AS53)</f>
        <v>8859.2635499999997</v>
      </c>
    </row>
    <row r="54" spans="1:48" x14ac:dyDescent="0.2">
      <c r="A54" s="86" t="s">
        <v>84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>
        <v>2500</v>
      </c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>
        <v>17746.59</v>
      </c>
      <c r="AT54" s="87">
        <f>SUM(B54:AS54)</f>
        <v>20246.59</v>
      </c>
    </row>
    <row r="55" spans="1:48" s="69" customFormat="1" x14ac:dyDescent="0.2">
      <c r="A55" s="89" t="s">
        <v>85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>
        <f>160000+25000</f>
        <v>185000</v>
      </c>
      <c r="AT55" s="87">
        <f>SUM(B55:AS55)</f>
        <v>185000</v>
      </c>
    </row>
    <row r="56" spans="1:48" s="69" customFormat="1" x14ac:dyDescent="0.2">
      <c r="A56" s="89" t="s">
        <v>86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>
        <f>598900+7000+11000</f>
        <v>616900</v>
      </c>
      <c r="AT56" s="87">
        <f>SUM(B56:AS56)</f>
        <v>616900</v>
      </c>
    </row>
    <row r="58" spans="1:48" s="69" customFormat="1" ht="12.75" x14ac:dyDescent="0.2">
      <c r="A58" s="90" t="s">
        <v>92</v>
      </c>
      <c r="B58" s="90">
        <v>15</v>
      </c>
      <c r="C58" s="90">
        <v>6</v>
      </c>
      <c r="D58" s="90">
        <v>3</v>
      </c>
      <c r="E58" s="90">
        <v>5</v>
      </c>
      <c r="F58" s="90">
        <v>14</v>
      </c>
      <c r="G58" s="90">
        <v>3</v>
      </c>
      <c r="H58" s="90"/>
      <c r="I58" s="90">
        <v>24</v>
      </c>
      <c r="J58" s="90">
        <v>11</v>
      </c>
      <c r="K58" s="90">
        <v>2</v>
      </c>
      <c r="L58" s="90">
        <v>5</v>
      </c>
      <c r="M58" s="90">
        <v>3</v>
      </c>
      <c r="N58" s="90"/>
      <c r="O58" s="90"/>
      <c r="P58" s="90"/>
      <c r="Q58" s="90"/>
      <c r="R58" s="90">
        <v>5</v>
      </c>
      <c r="S58" s="90">
        <v>4</v>
      </c>
      <c r="T58" s="90">
        <v>3</v>
      </c>
      <c r="U58" s="90"/>
      <c r="V58" s="90">
        <v>3</v>
      </c>
      <c r="W58" s="90"/>
      <c r="X58" s="90"/>
      <c r="Y58" s="90"/>
      <c r="Z58" s="90">
        <v>2</v>
      </c>
      <c r="AA58" s="90">
        <v>2</v>
      </c>
      <c r="AB58" s="90"/>
      <c r="AC58" s="90">
        <v>6</v>
      </c>
      <c r="AD58" s="90"/>
      <c r="AE58" s="90">
        <v>1</v>
      </c>
      <c r="AF58" s="90">
        <v>5</v>
      </c>
      <c r="AG58" s="90"/>
      <c r="AH58" s="90">
        <v>14</v>
      </c>
      <c r="AI58" s="90">
        <v>3</v>
      </c>
      <c r="AJ58" s="90"/>
      <c r="AK58" s="90">
        <v>3</v>
      </c>
      <c r="AL58" s="90"/>
      <c r="AM58" s="90">
        <v>3</v>
      </c>
      <c r="AN58" s="90"/>
      <c r="AO58" s="90">
        <v>1</v>
      </c>
      <c r="AP58" s="90">
        <v>12</v>
      </c>
      <c r="AQ58" s="90">
        <v>1</v>
      </c>
      <c r="AR58" s="91">
        <f>SUM(A58:AQ58)</f>
        <v>159</v>
      </c>
      <c r="AS58" s="92" t="s">
        <v>103</v>
      </c>
    </row>
    <row r="59" spans="1:48" s="69" customFormat="1" x14ac:dyDescent="0.2">
      <c r="A59" s="90" t="s">
        <v>91</v>
      </c>
      <c r="B59" s="93">
        <f>+B50/B58</f>
        <v>6536.8739999999916</v>
      </c>
      <c r="C59" s="93">
        <f t="shared" ref="C59:AQ59" si="9">+C50/C58</f>
        <v>12795.5</v>
      </c>
      <c r="D59" s="93">
        <f t="shared" si="9"/>
        <v>3611.4000000000015</v>
      </c>
      <c r="E59" s="93">
        <f t="shared" si="9"/>
        <v>5226.8540000000121</v>
      </c>
      <c r="F59" s="93">
        <f t="shared" si="9"/>
        <v>4592.9092857142887</v>
      </c>
      <c r="G59" s="93">
        <f t="shared" si="9"/>
        <v>6110.7699999999941</v>
      </c>
      <c r="H59" s="93"/>
      <c r="I59" s="93">
        <f t="shared" si="9"/>
        <v>5312.1616666666741</v>
      </c>
      <c r="J59" s="93">
        <f t="shared" si="9"/>
        <v>3371.0600000000081</v>
      </c>
      <c r="K59" s="93">
        <f t="shared" si="9"/>
        <v>3417.9549999999999</v>
      </c>
      <c r="L59" s="93">
        <f t="shared" si="9"/>
        <v>4527.0039999999881</v>
      </c>
      <c r="M59" s="93">
        <f>(M50-M9)/M58</f>
        <v>4639.2766666666648</v>
      </c>
      <c r="N59" s="93"/>
      <c r="O59" s="93"/>
      <c r="P59" s="93"/>
      <c r="Q59" s="93"/>
      <c r="R59" s="93">
        <f t="shared" si="9"/>
        <v>5544.4199999999837</v>
      </c>
      <c r="S59" s="93">
        <f t="shared" si="9"/>
        <v>1727.7025000000031</v>
      </c>
      <c r="T59" s="93">
        <f t="shared" si="9"/>
        <v>4855.6566666666668</v>
      </c>
      <c r="U59" s="93"/>
      <c r="V59" s="93">
        <f t="shared" si="9"/>
        <v>4413.5300000000016</v>
      </c>
      <c r="W59" s="93"/>
      <c r="X59" s="93"/>
      <c r="Y59" s="93"/>
      <c r="Z59" s="93">
        <f t="shared" si="9"/>
        <v>6991.380000000001</v>
      </c>
      <c r="AA59" s="93">
        <f t="shared" si="9"/>
        <v>5322.2599999999948</v>
      </c>
      <c r="AB59" s="93"/>
      <c r="AC59" s="93">
        <f t="shared" si="9"/>
        <v>4065.363333333326</v>
      </c>
      <c r="AD59" s="93" t="e">
        <f t="shared" si="9"/>
        <v>#DIV/0!</v>
      </c>
      <c r="AE59" s="93">
        <f t="shared" si="9"/>
        <v>7032.3100000000013</v>
      </c>
      <c r="AF59" s="93">
        <f t="shared" si="9"/>
        <v>2370.7720000000031</v>
      </c>
      <c r="AG59" s="93" t="e">
        <f t="shared" si="9"/>
        <v>#DIV/0!</v>
      </c>
      <c r="AH59" s="93">
        <f t="shared" si="9"/>
        <v>4196.9157142857102</v>
      </c>
      <c r="AI59" s="93">
        <f t="shared" si="9"/>
        <v>8252.216666666669</v>
      </c>
      <c r="AJ59" s="93" t="e">
        <f t="shared" si="9"/>
        <v>#DIV/0!</v>
      </c>
      <c r="AK59" s="93">
        <f t="shared" si="9"/>
        <v>4838.1666666666688</v>
      </c>
      <c r="AL59" s="93" t="e">
        <f t="shared" si="9"/>
        <v>#DIV/0!</v>
      </c>
      <c r="AM59" s="93">
        <f t="shared" si="9"/>
        <v>4965.6166666666677</v>
      </c>
      <c r="AN59" s="93" t="e">
        <f t="shared" si="9"/>
        <v>#DIV/0!</v>
      </c>
      <c r="AO59" s="93">
        <f t="shared" si="9"/>
        <v>5393.9</v>
      </c>
      <c r="AP59" s="93">
        <f t="shared" si="9"/>
        <v>6008.9208333333327</v>
      </c>
      <c r="AQ59" s="93">
        <f t="shared" si="9"/>
        <v>5638.07</v>
      </c>
    </row>
    <row r="60" spans="1:48" s="69" customFormat="1" x14ac:dyDescent="0.2">
      <c r="N60" s="70"/>
      <c r="O60" s="70"/>
      <c r="P60" s="70"/>
      <c r="Q60" s="70"/>
      <c r="R60" s="70"/>
      <c r="S60" s="70"/>
      <c r="T60" s="70"/>
      <c r="U60" s="70"/>
    </row>
    <row r="61" spans="1:48" s="69" customFormat="1" x14ac:dyDescent="0.2">
      <c r="N61" s="70"/>
      <c r="O61" s="70"/>
      <c r="P61" s="70"/>
      <c r="Q61" s="70"/>
      <c r="R61" s="70"/>
      <c r="S61" s="70"/>
      <c r="T61" s="70"/>
      <c r="U61" s="70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C64A-250E-4231-8CF6-A53AAB7949F7}">
  <sheetPr>
    <tabColor rgb="FF7030A0"/>
  </sheetPr>
  <dimension ref="A2:AV61"/>
  <sheetViews>
    <sheetView workbookViewId="0">
      <pane xSplit="1" ySplit="7" topLeftCell="AM44" activePane="bottomRight" state="frozen"/>
      <selection activeCell="D53" sqref="D53"/>
      <selection pane="topRight" activeCell="D53" sqref="D53"/>
      <selection pane="bottomLeft" activeCell="D53" sqref="D53"/>
      <selection pane="bottomRight" activeCell="AN53" sqref="AN53"/>
    </sheetView>
  </sheetViews>
  <sheetFormatPr baseColWidth="10" defaultColWidth="11.42578125" defaultRowHeight="12" x14ac:dyDescent="0.2"/>
  <cols>
    <col min="1" max="1" width="20.85546875" style="2" customWidth="1"/>
    <col min="2" max="13" width="11.42578125" style="2"/>
    <col min="14" max="17" width="0" style="2" hidden="1" customWidth="1"/>
    <col min="18" max="20" width="11.42578125" style="2"/>
    <col min="21" max="21" width="0" style="2" hidden="1" customWidth="1"/>
    <col min="22" max="22" width="11.42578125" style="2"/>
    <col min="23" max="25" width="0" style="2" hidden="1" customWidth="1"/>
    <col min="26" max="27" width="11.42578125" style="2"/>
    <col min="28" max="28" width="0" style="2" hidden="1" customWidth="1"/>
    <col min="29" max="32" width="11.42578125" style="2"/>
    <col min="33" max="33" width="0" style="2" hidden="1" customWidth="1"/>
    <col min="34" max="35" width="11.42578125" style="2"/>
    <col min="36" max="36" width="0" style="2" hidden="1" customWidth="1"/>
    <col min="37" max="37" width="11.42578125" style="2"/>
    <col min="38" max="38" width="13.85546875" style="2" hidden="1" customWidth="1"/>
    <col min="39" max="42" width="13.85546875" style="2" customWidth="1"/>
    <col min="43" max="43" width="17.5703125" style="2" bestFit="1" customWidth="1"/>
    <col min="44" max="45" width="11.42578125" style="2"/>
    <col min="46" max="46" width="11.42578125" style="29"/>
    <col min="47" max="47" width="11.42578125" style="23"/>
    <col min="48" max="16384" width="11.42578125" style="2"/>
  </cols>
  <sheetData>
    <row r="2" spans="1:48" x14ac:dyDescent="0.2">
      <c r="A2" s="2" t="s">
        <v>80</v>
      </c>
    </row>
    <row r="3" spans="1:48" x14ac:dyDescent="0.2">
      <c r="A3" s="2" t="s">
        <v>0</v>
      </c>
    </row>
    <row r="5" spans="1:48" s="42" customFormat="1" x14ac:dyDescent="0.2">
      <c r="AT5" s="43"/>
      <c r="AU5" s="44"/>
    </row>
    <row r="6" spans="1:48" ht="36" x14ac:dyDescent="0.2">
      <c r="A6" s="35" t="s">
        <v>1</v>
      </c>
      <c r="B6" s="73" t="s">
        <v>2</v>
      </c>
      <c r="C6" s="73" t="s">
        <v>3</v>
      </c>
      <c r="D6" s="73" t="s">
        <v>97</v>
      </c>
      <c r="E6" s="73" t="s">
        <v>4</v>
      </c>
      <c r="F6" s="73" t="s">
        <v>5</v>
      </c>
      <c r="G6" s="73" t="s">
        <v>6</v>
      </c>
      <c r="H6" s="74" t="s">
        <v>104</v>
      </c>
      <c r="I6" s="73" t="s">
        <v>74</v>
      </c>
      <c r="J6" s="73" t="s">
        <v>7</v>
      </c>
      <c r="K6" s="73" t="s">
        <v>8</v>
      </c>
      <c r="L6" s="73" t="s">
        <v>9</v>
      </c>
      <c r="M6" s="73" t="s">
        <v>10</v>
      </c>
      <c r="N6" s="73" t="s">
        <v>11</v>
      </c>
      <c r="O6" s="73" t="s">
        <v>12</v>
      </c>
      <c r="P6" s="73" t="s">
        <v>13</v>
      </c>
      <c r="Q6" s="73" t="s">
        <v>14</v>
      </c>
      <c r="R6" s="73" t="s">
        <v>15</v>
      </c>
      <c r="S6" s="73" t="s">
        <v>16</v>
      </c>
      <c r="T6" s="73" t="s">
        <v>17</v>
      </c>
      <c r="U6" s="73" t="s">
        <v>18</v>
      </c>
      <c r="V6" s="74" t="s">
        <v>19</v>
      </c>
      <c r="W6" s="73"/>
      <c r="X6" s="74"/>
      <c r="Y6" s="74"/>
      <c r="Z6" s="74" t="s">
        <v>23</v>
      </c>
      <c r="AA6" s="74" t="s">
        <v>24</v>
      </c>
      <c r="AB6" s="74" t="s">
        <v>25</v>
      </c>
      <c r="AC6" s="73" t="s">
        <v>26</v>
      </c>
      <c r="AD6" s="74" t="s">
        <v>27</v>
      </c>
      <c r="AE6" s="74" t="s">
        <v>28</v>
      </c>
      <c r="AF6" s="74" t="s">
        <v>29</v>
      </c>
      <c r="AG6" s="94"/>
      <c r="AH6" s="73" t="s">
        <v>30</v>
      </c>
      <c r="AI6" s="74" t="s">
        <v>31</v>
      </c>
      <c r="AJ6" s="74" t="s">
        <v>32</v>
      </c>
      <c r="AK6" s="94" t="s">
        <v>75</v>
      </c>
      <c r="AL6" s="73"/>
      <c r="AM6" s="74" t="s">
        <v>83</v>
      </c>
      <c r="AN6" s="73" t="s">
        <v>107</v>
      </c>
      <c r="AO6" s="73" t="s">
        <v>99</v>
      </c>
      <c r="AP6" s="73" t="s">
        <v>100</v>
      </c>
      <c r="AQ6" s="73" t="s">
        <v>101</v>
      </c>
      <c r="AR6" s="74" t="s">
        <v>77</v>
      </c>
      <c r="AS6" s="74" t="s">
        <v>88</v>
      </c>
      <c r="AT6" s="73" t="s">
        <v>33</v>
      </c>
      <c r="AU6" s="22" t="s">
        <v>34</v>
      </c>
    </row>
    <row r="8" spans="1:48" x14ac:dyDescent="0.2">
      <c r="A8" s="2" t="s">
        <v>36</v>
      </c>
      <c r="B8" s="55">
        <v>313000</v>
      </c>
      <c r="C8" s="55">
        <v>105500</v>
      </c>
      <c r="D8" s="26">
        <v>56750</v>
      </c>
      <c r="E8" s="55">
        <v>107650</v>
      </c>
      <c r="F8" s="55">
        <v>272900</v>
      </c>
      <c r="G8" s="55">
        <v>58750</v>
      </c>
      <c r="H8" s="26"/>
      <c r="I8" s="55">
        <v>464900</v>
      </c>
      <c r="J8" s="55">
        <v>186791.18999999994</v>
      </c>
      <c r="K8" s="55">
        <v>19000</v>
      </c>
      <c r="L8" s="55">
        <v>88300</v>
      </c>
      <c r="M8" s="12">
        <v>53600</v>
      </c>
      <c r="N8" s="55"/>
      <c r="O8" s="55"/>
      <c r="P8" s="55"/>
      <c r="Q8" s="55"/>
      <c r="R8" s="55">
        <v>97750</v>
      </c>
      <c r="S8" s="55">
        <v>98250</v>
      </c>
      <c r="T8" s="55">
        <v>55750</v>
      </c>
      <c r="U8" s="55"/>
      <c r="V8" s="55">
        <v>54000</v>
      </c>
      <c r="W8" s="55"/>
      <c r="X8" s="55"/>
      <c r="Y8" s="55"/>
      <c r="Z8" s="55">
        <v>36000</v>
      </c>
      <c r="AA8" s="55">
        <v>38000</v>
      </c>
      <c r="AB8" s="55"/>
      <c r="AC8" s="55">
        <v>86500</v>
      </c>
      <c r="AD8" s="55">
        <v>38000</v>
      </c>
      <c r="AE8" s="55">
        <v>19500</v>
      </c>
      <c r="AF8" s="55">
        <v>84500</v>
      </c>
      <c r="AG8" s="55"/>
      <c r="AH8" s="55">
        <v>271500</v>
      </c>
      <c r="AI8" s="55">
        <v>55750</v>
      </c>
      <c r="AJ8" s="55"/>
      <c r="AK8" s="55">
        <v>57200</v>
      </c>
      <c r="AL8" s="55"/>
      <c r="AM8" s="55">
        <v>41000</v>
      </c>
      <c r="AN8" s="55">
        <v>22800.06</v>
      </c>
      <c r="AO8" s="55">
        <v>18500</v>
      </c>
      <c r="AP8" s="55">
        <v>232000</v>
      </c>
      <c r="AQ8" s="55">
        <v>18700</v>
      </c>
      <c r="AR8" s="55"/>
      <c r="AS8" s="55"/>
      <c r="AT8" s="56">
        <f>SUM(B8:AS8)</f>
        <v>3052841.25</v>
      </c>
      <c r="AU8" s="23">
        <f>+AT8/$AT$13</f>
        <v>0.99297433314102201</v>
      </c>
    </row>
    <row r="9" spans="1:48" x14ac:dyDescent="0.2">
      <c r="A9" s="2" t="s">
        <v>94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12">
        <v>21600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6">
        <f t="shared" ref="AT9:AT12" si="0">SUM(B9:AS9)</f>
        <v>21600</v>
      </c>
      <c r="AU9" s="23">
        <f>+AT9/$AT$13</f>
        <v>7.0256668589780335E-3</v>
      </c>
    </row>
    <row r="10" spans="1:48" x14ac:dyDescent="0.2"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6">
        <f t="shared" si="0"/>
        <v>0</v>
      </c>
      <c r="AU10" s="23">
        <f>+AT10/$AT$13</f>
        <v>0</v>
      </c>
    </row>
    <row r="11" spans="1:48" x14ac:dyDescent="0.2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6">
        <f t="shared" si="0"/>
        <v>0</v>
      </c>
      <c r="AU11" s="23">
        <f>+AT11/$AT$13</f>
        <v>0</v>
      </c>
    </row>
    <row r="12" spans="1:48" x14ac:dyDescent="0.2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6">
        <f t="shared" si="0"/>
        <v>0</v>
      </c>
      <c r="AU12" s="23">
        <f>+AT12/$AT$13</f>
        <v>0</v>
      </c>
    </row>
    <row r="13" spans="1:48" ht="12.75" thickBot="1" x14ac:dyDescent="0.25">
      <c r="A13" s="14" t="s">
        <v>37</v>
      </c>
      <c r="B13" s="14">
        <f>SUM(B8:B12)</f>
        <v>313000</v>
      </c>
      <c r="C13" s="14">
        <f t="shared" ref="C13:AS13" si="1">SUM(C8:C12)</f>
        <v>105500</v>
      </c>
      <c r="D13" s="14">
        <f t="shared" si="1"/>
        <v>56750</v>
      </c>
      <c r="E13" s="14">
        <f t="shared" si="1"/>
        <v>107650</v>
      </c>
      <c r="F13" s="14">
        <f t="shared" si="1"/>
        <v>272900</v>
      </c>
      <c r="G13" s="14">
        <f t="shared" si="1"/>
        <v>58750</v>
      </c>
      <c r="H13" s="14">
        <f t="shared" si="1"/>
        <v>0</v>
      </c>
      <c r="I13" s="14">
        <f t="shared" si="1"/>
        <v>464900</v>
      </c>
      <c r="J13" s="14">
        <f t="shared" si="1"/>
        <v>186791.18999999994</v>
      </c>
      <c r="K13" s="14">
        <f t="shared" si="1"/>
        <v>19000</v>
      </c>
      <c r="L13" s="14">
        <f t="shared" si="1"/>
        <v>88300</v>
      </c>
      <c r="M13" s="14">
        <f t="shared" si="1"/>
        <v>75200</v>
      </c>
      <c r="N13" s="14">
        <f t="shared" si="1"/>
        <v>0</v>
      </c>
      <c r="O13" s="14">
        <f t="shared" si="1"/>
        <v>0</v>
      </c>
      <c r="P13" s="14">
        <f t="shared" si="1"/>
        <v>0</v>
      </c>
      <c r="Q13" s="14">
        <f t="shared" si="1"/>
        <v>0</v>
      </c>
      <c r="R13" s="14">
        <f t="shared" si="1"/>
        <v>97750</v>
      </c>
      <c r="S13" s="14">
        <f t="shared" si="1"/>
        <v>98250</v>
      </c>
      <c r="T13" s="14">
        <f t="shared" si="1"/>
        <v>55750</v>
      </c>
      <c r="U13" s="14">
        <f t="shared" si="1"/>
        <v>0</v>
      </c>
      <c r="V13" s="14">
        <f t="shared" si="1"/>
        <v>54000</v>
      </c>
      <c r="W13" s="14">
        <f t="shared" si="1"/>
        <v>0</v>
      </c>
      <c r="X13" s="14">
        <f t="shared" si="1"/>
        <v>0</v>
      </c>
      <c r="Y13" s="14">
        <f t="shared" si="1"/>
        <v>0</v>
      </c>
      <c r="Z13" s="14">
        <f t="shared" si="1"/>
        <v>36000</v>
      </c>
      <c r="AA13" s="14">
        <f t="shared" si="1"/>
        <v>38000</v>
      </c>
      <c r="AB13" s="14">
        <f t="shared" si="1"/>
        <v>0</v>
      </c>
      <c r="AC13" s="14">
        <f t="shared" si="1"/>
        <v>86500</v>
      </c>
      <c r="AD13" s="14">
        <f t="shared" si="1"/>
        <v>38000</v>
      </c>
      <c r="AE13" s="14">
        <f t="shared" si="1"/>
        <v>19500</v>
      </c>
      <c r="AF13" s="14">
        <f t="shared" si="1"/>
        <v>84500</v>
      </c>
      <c r="AG13" s="14">
        <f t="shared" si="1"/>
        <v>0</v>
      </c>
      <c r="AH13" s="14">
        <f t="shared" si="1"/>
        <v>271500</v>
      </c>
      <c r="AI13" s="14">
        <f t="shared" si="1"/>
        <v>55750</v>
      </c>
      <c r="AJ13" s="14">
        <f t="shared" si="1"/>
        <v>0</v>
      </c>
      <c r="AK13" s="14">
        <f t="shared" si="1"/>
        <v>57200</v>
      </c>
      <c r="AL13" s="14">
        <f t="shared" si="1"/>
        <v>0</v>
      </c>
      <c r="AM13" s="14">
        <f t="shared" si="1"/>
        <v>41000</v>
      </c>
      <c r="AN13" s="14">
        <f t="shared" si="1"/>
        <v>22800.06</v>
      </c>
      <c r="AO13" s="14">
        <f t="shared" si="1"/>
        <v>18500</v>
      </c>
      <c r="AP13" s="14">
        <f t="shared" si="1"/>
        <v>232000</v>
      </c>
      <c r="AQ13" s="14">
        <f t="shared" si="1"/>
        <v>18700</v>
      </c>
      <c r="AR13" s="14">
        <f t="shared" si="1"/>
        <v>0</v>
      </c>
      <c r="AS13" s="14">
        <f t="shared" si="1"/>
        <v>0</v>
      </c>
      <c r="AT13" s="14">
        <f>SUM(AT8:AT12)</f>
        <v>3074441.25</v>
      </c>
      <c r="AU13" s="10">
        <f>SUM(AU8:AU12)</f>
        <v>1</v>
      </c>
    </row>
    <row r="14" spans="1:48" ht="12.75" thickTop="1" x14ac:dyDescent="0.2"/>
    <row r="15" spans="1:48" x14ac:dyDescent="0.2">
      <c r="A15" s="2" t="s">
        <v>39</v>
      </c>
      <c r="B15" s="26">
        <v>120303.29999999981</v>
      </c>
      <c r="C15" s="26">
        <v>0</v>
      </c>
      <c r="D15" s="26">
        <v>26893.429999999993</v>
      </c>
      <c r="E15" s="26">
        <v>53593.590000000026</v>
      </c>
      <c r="F15" s="26">
        <v>107226.69999999995</v>
      </c>
      <c r="G15" s="26">
        <v>30636.320000000007</v>
      </c>
      <c r="H15" s="26"/>
      <c r="I15" s="26">
        <v>177971.37000000011</v>
      </c>
      <c r="J15" s="26">
        <v>71341.680000000051</v>
      </c>
      <c r="K15" s="26">
        <v>8805</v>
      </c>
      <c r="L15" s="26">
        <v>46201.599999999977</v>
      </c>
      <c r="M15" s="26">
        <v>23879.97</v>
      </c>
      <c r="N15" s="26"/>
      <c r="O15" s="26"/>
      <c r="P15" s="26"/>
      <c r="Q15" s="26"/>
      <c r="R15" s="26">
        <v>29456.809999999998</v>
      </c>
      <c r="S15" s="26">
        <v>26928.659999999974</v>
      </c>
      <c r="T15" s="26">
        <v>23229.5</v>
      </c>
      <c r="U15" s="26"/>
      <c r="V15" s="26">
        <v>27720.5</v>
      </c>
      <c r="W15" s="26"/>
      <c r="X15" s="26"/>
      <c r="Y15" s="26"/>
      <c r="Z15" s="26">
        <v>16911.100000000006</v>
      </c>
      <c r="AA15" s="26">
        <v>19317.839999999997</v>
      </c>
      <c r="AB15" s="26"/>
      <c r="AC15" s="26">
        <v>34935.440000000002</v>
      </c>
      <c r="AD15" s="26">
        <v>13813.589999999997</v>
      </c>
      <c r="AE15" s="26">
        <v>8805</v>
      </c>
      <c r="AF15" s="26">
        <v>44546.330000000016</v>
      </c>
      <c r="AG15" s="26"/>
      <c r="AH15" s="26">
        <v>148822.68000000005</v>
      </c>
      <c r="AI15" s="26">
        <v>9133.5199999999895</v>
      </c>
      <c r="AJ15" s="26"/>
      <c r="AK15" s="26">
        <v>28146.28</v>
      </c>
      <c r="AL15" s="26"/>
      <c r="AM15" s="26">
        <v>16092</v>
      </c>
      <c r="AN15" s="26"/>
      <c r="AO15" s="26">
        <v>8535</v>
      </c>
      <c r="AP15" s="26">
        <v>76040.340000000084</v>
      </c>
      <c r="AQ15" s="26">
        <v>8405</v>
      </c>
      <c r="AR15" s="26"/>
      <c r="AS15" s="26">
        <v>306755.90999999997</v>
      </c>
      <c r="AT15" s="30">
        <f t="shared" ref="AT15:AT44" si="2">SUM(B15:AS15)</f>
        <v>1514448.4599999997</v>
      </c>
      <c r="AU15" s="23">
        <f t="shared" ref="AU15:AU44" si="3">+AT15/$AT$45</f>
        <v>0.53909844216677416</v>
      </c>
      <c r="AV15" s="2" t="s">
        <v>68</v>
      </c>
    </row>
    <row r="16" spans="1:48" x14ac:dyDescent="0.2">
      <c r="A16" s="2" t="s">
        <v>40</v>
      </c>
      <c r="B16" s="26">
        <v>13877.220000000001</v>
      </c>
      <c r="C16" s="26">
        <v>0</v>
      </c>
      <c r="D16" s="26">
        <v>3017.510000000002</v>
      </c>
      <c r="E16" s="26">
        <v>6322.510000000002</v>
      </c>
      <c r="F16" s="26">
        <v>12490.040000000008</v>
      </c>
      <c r="G16" s="26">
        <v>3138.7799999999988</v>
      </c>
      <c r="H16" s="26"/>
      <c r="I16" s="26">
        <v>22437.98000000001</v>
      </c>
      <c r="J16" s="26">
        <v>8997.61</v>
      </c>
      <c r="K16" s="26">
        <v>1040.9700000000012</v>
      </c>
      <c r="L16" s="26">
        <v>4957.57</v>
      </c>
      <c r="M16" s="26">
        <v>2518.4599999999991</v>
      </c>
      <c r="N16" s="26"/>
      <c r="O16" s="26"/>
      <c r="P16" s="26"/>
      <c r="Q16" s="26"/>
      <c r="R16" s="26">
        <v>4326.7300000000032</v>
      </c>
      <c r="S16" s="26">
        <v>3141.25</v>
      </c>
      <c r="T16" s="26">
        <v>2138.3199999999997</v>
      </c>
      <c r="U16" s="26"/>
      <c r="V16" s="26">
        <v>3157.3499999999985</v>
      </c>
      <c r="W16" s="26"/>
      <c r="X16" s="26"/>
      <c r="Y16" s="26"/>
      <c r="Z16" s="26">
        <v>1967.5</v>
      </c>
      <c r="AA16" s="26">
        <v>2156.9199999999983</v>
      </c>
      <c r="AB16" s="26"/>
      <c r="AC16" s="26">
        <v>4231.7099999999991</v>
      </c>
      <c r="AD16" s="26">
        <v>1903.3799999999992</v>
      </c>
      <c r="AE16" s="26">
        <v>1041.8500000000004</v>
      </c>
      <c r="AF16" s="26">
        <v>4129.8299999999945</v>
      </c>
      <c r="AG16" s="26"/>
      <c r="AH16" s="26">
        <v>15308.490000000005</v>
      </c>
      <c r="AI16" s="26">
        <v>1198.3499999999985</v>
      </c>
      <c r="AJ16" s="26"/>
      <c r="AK16" s="26">
        <v>2724.2800000000025</v>
      </c>
      <c r="AL16" s="26"/>
      <c r="AM16" s="26">
        <v>2108.8200000000033</v>
      </c>
      <c r="AN16" s="26"/>
      <c r="AO16" s="26">
        <v>1056.9799999999996</v>
      </c>
      <c r="AP16" s="26">
        <v>10142.14</v>
      </c>
      <c r="AQ16" s="26">
        <v>1046.2900000000009</v>
      </c>
      <c r="AR16" s="26"/>
      <c r="AS16" s="26">
        <v>13946.32</v>
      </c>
      <c r="AT16" s="30">
        <f t="shared" si="2"/>
        <v>154525.16000000006</v>
      </c>
      <c r="AU16" s="23">
        <f t="shared" si="3"/>
        <v>5.5006344046578892E-2</v>
      </c>
      <c r="AV16" s="2" t="s">
        <v>68</v>
      </c>
    </row>
    <row r="17" spans="1:48" x14ac:dyDescent="0.2">
      <c r="A17" s="2" t="s">
        <v>41</v>
      </c>
      <c r="B17" s="26">
        <v>11493.89</v>
      </c>
      <c r="C17" s="26">
        <v>0</v>
      </c>
      <c r="D17" s="26">
        <v>2286.9000000000015</v>
      </c>
      <c r="E17" s="26">
        <v>3792.739999999998</v>
      </c>
      <c r="F17" s="26">
        <v>9956.9499999999971</v>
      </c>
      <c r="G17" s="26">
        <v>2401.1000000000022</v>
      </c>
      <c r="H17" s="26"/>
      <c r="I17" s="26">
        <v>17552.260000000009</v>
      </c>
      <c r="J17" s="26">
        <v>7152.5900000000038</v>
      </c>
      <c r="K17" s="26">
        <v>791.85999999999967</v>
      </c>
      <c r="L17" s="26">
        <v>3273.2300000000032</v>
      </c>
      <c r="M17" s="26">
        <v>2464.0799999999981</v>
      </c>
      <c r="N17" s="26"/>
      <c r="O17" s="26"/>
      <c r="P17" s="26"/>
      <c r="Q17" s="26"/>
      <c r="R17" s="26">
        <v>2868.4700000000012</v>
      </c>
      <c r="S17" s="26">
        <v>4133.9399999999987</v>
      </c>
      <c r="T17" s="26">
        <v>1684.9699999999993</v>
      </c>
      <c r="U17" s="26"/>
      <c r="V17" s="26">
        <v>2443.34</v>
      </c>
      <c r="W17" s="26"/>
      <c r="X17" s="26"/>
      <c r="Y17" s="26"/>
      <c r="Z17" s="26">
        <v>1295.7700000000004</v>
      </c>
      <c r="AA17" s="26">
        <v>1599.3000000000011</v>
      </c>
      <c r="AB17" s="26"/>
      <c r="AC17" s="26">
        <v>3219.8299999999981</v>
      </c>
      <c r="AD17" s="26">
        <v>1454.75</v>
      </c>
      <c r="AE17" s="26">
        <v>790.75</v>
      </c>
      <c r="AF17" s="26">
        <v>3376</v>
      </c>
      <c r="AG17" s="26"/>
      <c r="AH17" s="26">
        <v>10258.419999999998</v>
      </c>
      <c r="AI17" s="26">
        <v>1485.4400000000005</v>
      </c>
      <c r="AJ17" s="26"/>
      <c r="AK17" s="26">
        <v>2434.4600000000028</v>
      </c>
      <c r="AL17" s="26"/>
      <c r="AM17" s="26">
        <v>1577.4799999999996</v>
      </c>
      <c r="AN17" s="26"/>
      <c r="AO17" s="26">
        <v>800.22000000000025</v>
      </c>
      <c r="AP17" s="26">
        <v>5787.3100000000049</v>
      </c>
      <c r="AQ17" s="26">
        <v>774.6299999999992</v>
      </c>
      <c r="AR17" s="26"/>
      <c r="AS17" s="26">
        <v>13812.68</v>
      </c>
      <c r="AT17" s="30">
        <f t="shared" si="2"/>
        <v>120963.36000000004</v>
      </c>
      <c r="AU17" s="23">
        <f t="shared" si="3"/>
        <v>4.3059345139588784E-2</v>
      </c>
      <c r="AV17" s="2" t="s">
        <v>68</v>
      </c>
    </row>
    <row r="18" spans="1:48" x14ac:dyDescent="0.2">
      <c r="A18" s="2" t="s">
        <v>42</v>
      </c>
      <c r="B18" s="26">
        <v>6803.4400000000023</v>
      </c>
      <c r="C18" s="26">
        <v>0</v>
      </c>
      <c r="D18" s="26">
        <v>1356.079999999999</v>
      </c>
      <c r="E18" s="26">
        <v>2249.0200000000004</v>
      </c>
      <c r="F18" s="26">
        <v>6002.5799999999945</v>
      </c>
      <c r="G18" s="26">
        <v>1423.8000000000011</v>
      </c>
      <c r="H18" s="26"/>
      <c r="I18" s="26">
        <v>10550.989999999991</v>
      </c>
      <c r="J18" s="26">
        <v>4732.5199999999968</v>
      </c>
      <c r="K18" s="26">
        <v>469.55999999999995</v>
      </c>
      <c r="L18" s="26">
        <v>2225.1500000000015</v>
      </c>
      <c r="M18" s="26">
        <v>1461.1499999999996</v>
      </c>
      <c r="N18" s="26"/>
      <c r="O18" s="26"/>
      <c r="P18" s="26"/>
      <c r="Q18" s="26"/>
      <c r="R18" s="26">
        <v>1799.5499999999993</v>
      </c>
      <c r="S18" s="26">
        <v>2451.34</v>
      </c>
      <c r="T18" s="26">
        <v>999.16000000000076</v>
      </c>
      <c r="U18" s="26"/>
      <c r="V18" s="26">
        <v>1448.8500000000004</v>
      </c>
      <c r="W18" s="26"/>
      <c r="X18" s="26"/>
      <c r="Y18" s="26"/>
      <c r="Z18" s="26">
        <v>768.35999999999967</v>
      </c>
      <c r="AA18" s="26">
        <v>990.51999999999953</v>
      </c>
      <c r="AB18" s="26"/>
      <c r="AC18" s="26">
        <v>1909.2900000000009</v>
      </c>
      <c r="AD18" s="26">
        <v>945.80000000000018</v>
      </c>
      <c r="AE18" s="26">
        <v>468.90000000000055</v>
      </c>
      <c r="AF18" s="26">
        <v>2135.8099999999995</v>
      </c>
      <c r="AG18" s="26"/>
      <c r="AH18" s="26">
        <v>6094.82</v>
      </c>
      <c r="AI18" s="26">
        <v>880.82999999999993</v>
      </c>
      <c r="AJ18" s="26"/>
      <c r="AK18" s="26">
        <v>1443.5900000000001</v>
      </c>
      <c r="AL18" s="26"/>
      <c r="AM18" s="26">
        <v>935.40999999999985</v>
      </c>
      <c r="AN18" s="26"/>
      <c r="AO18" s="26">
        <v>474.51999999999953</v>
      </c>
      <c r="AP18" s="26">
        <v>3431.760000000002</v>
      </c>
      <c r="AQ18" s="26">
        <v>459.34999999999945</v>
      </c>
      <c r="AR18" s="26"/>
      <c r="AS18" s="26">
        <v>7794.01</v>
      </c>
      <c r="AT18" s="30">
        <f t="shared" si="2"/>
        <v>72706.159999999989</v>
      </c>
      <c r="AU18" s="23">
        <f t="shared" si="3"/>
        <v>2.5881222522375066E-2</v>
      </c>
      <c r="AV18" s="2" t="s">
        <v>68</v>
      </c>
    </row>
    <row r="19" spans="1:48" x14ac:dyDescent="0.2">
      <c r="A19" s="2" t="s">
        <v>43</v>
      </c>
      <c r="B19" s="26">
        <v>5027.4599999999991</v>
      </c>
      <c r="C19" s="26">
        <v>0</v>
      </c>
      <c r="D19" s="26">
        <v>1123.8699999999999</v>
      </c>
      <c r="E19" s="26">
        <v>2239.67</v>
      </c>
      <c r="F19" s="26">
        <v>4480.9900000000052</v>
      </c>
      <c r="G19" s="26">
        <v>1280.2899999999991</v>
      </c>
      <c r="H19" s="26"/>
      <c r="I19" s="26">
        <v>7437.3999999999942</v>
      </c>
      <c r="J19" s="26">
        <v>2981.3600000000006</v>
      </c>
      <c r="K19" s="26">
        <v>367.96000000000004</v>
      </c>
      <c r="L19" s="26">
        <v>1930.7599999999984</v>
      </c>
      <c r="M19" s="26">
        <v>997.94000000000051</v>
      </c>
      <c r="N19" s="26"/>
      <c r="O19" s="26"/>
      <c r="P19" s="26"/>
      <c r="Q19" s="26"/>
      <c r="R19" s="26">
        <v>1231</v>
      </c>
      <c r="S19" s="26">
        <v>1125.3400000000001</v>
      </c>
      <c r="T19" s="26">
        <v>970.76000000000022</v>
      </c>
      <c r="U19" s="26"/>
      <c r="V19" s="26">
        <v>1158.4399999999987</v>
      </c>
      <c r="W19" s="26"/>
      <c r="X19" s="26"/>
      <c r="Y19" s="26"/>
      <c r="Z19" s="26">
        <v>706.70999999999913</v>
      </c>
      <c r="AA19" s="26">
        <v>807.29</v>
      </c>
      <c r="AB19" s="26"/>
      <c r="AC19" s="26">
        <v>1459.9500000000007</v>
      </c>
      <c r="AD19" s="26">
        <v>577.26999999999953</v>
      </c>
      <c r="AE19" s="26">
        <v>367.96000000000004</v>
      </c>
      <c r="AF19" s="26">
        <v>1861.58</v>
      </c>
      <c r="AG19" s="26"/>
      <c r="AH19" s="26">
        <v>6219.2799999999988</v>
      </c>
      <c r="AI19" s="26">
        <v>381.69000000000051</v>
      </c>
      <c r="AJ19" s="26"/>
      <c r="AK19" s="26">
        <v>1176.2299999999996</v>
      </c>
      <c r="AL19" s="26"/>
      <c r="AM19" s="26">
        <v>672.47999999999956</v>
      </c>
      <c r="AN19" s="26"/>
      <c r="AO19" s="26">
        <v>356.67999999999984</v>
      </c>
      <c r="AP19" s="26">
        <v>3177.7099999999991</v>
      </c>
      <c r="AQ19" s="26">
        <v>351.24000000000024</v>
      </c>
      <c r="AR19" s="26"/>
      <c r="AS19" s="26">
        <v>8304.56</v>
      </c>
      <c r="AT19" s="30">
        <f t="shared" si="2"/>
        <v>58773.869999999988</v>
      </c>
      <c r="AU19" s="23">
        <f t="shared" si="3"/>
        <v>2.0921743191651767E-2</v>
      </c>
    </row>
    <row r="20" spans="1:48" x14ac:dyDescent="0.2">
      <c r="A20" s="2" t="s">
        <v>44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/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/>
      <c r="O20" s="26"/>
      <c r="P20" s="26"/>
      <c r="Q20" s="26"/>
      <c r="R20" s="26">
        <v>0</v>
      </c>
      <c r="S20" s="26">
        <v>0</v>
      </c>
      <c r="T20" s="26">
        <v>0</v>
      </c>
      <c r="U20" s="26"/>
      <c r="V20" s="26">
        <v>0</v>
      </c>
      <c r="W20" s="26"/>
      <c r="X20" s="26"/>
      <c r="Y20" s="26"/>
      <c r="Z20" s="26">
        <v>0</v>
      </c>
      <c r="AA20" s="26">
        <v>0</v>
      </c>
      <c r="AB20" s="26"/>
      <c r="AC20" s="26">
        <v>0</v>
      </c>
      <c r="AD20" s="26">
        <v>0</v>
      </c>
      <c r="AE20" s="26">
        <v>0</v>
      </c>
      <c r="AF20" s="26">
        <v>0</v>
      </c>
      <c r="AG20" s="26"/>
      <c r="AH20" s="26">
        <v>0</v>
      </c>
      <c r="AI20" s="26">
        <v>0</v>
      </c>
      <c r="AJ20" s="26"/>
      <c r="AK20" s="26">
        <v>0</v>
      </c>
      <c r="AL20" s="26"/>
      <c r="AM20" s="26">
        <v>0</v>
      </c>
      <c r="AN20" s="26"/>
      <c r="AO20" s="26">
        <v>0</v>
      </c>
      <c r="AP20" s="26">
        <v>0</v>
      </c>
      <c r="AQ20" s="26">
        <v>0</v>
      </c>
      <c r="AR20" s="26"/>
      <c r="AS20" s="26">
        <v>1888.69</v>
      </c>
      <c r="AT20" s="30">
        <f t="shared" si="2"/>
        <v>1888.69</v>
      </c>
      <c r="AU20" s="23">
        <f t="shared" si="3"/>
        <v>6.7231725847967448E-4</v>
      </c>
    </row>
    <row r="21" spans="1:48" x14ac:dyDescent="0.2">
      <c r="A21" s="2" t="s">
        <v>45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/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/>
      <c r="O21" s="26"/>
      <c r="P21" s="26"/>
      <c r="Q21" s="26"/>
      <c r="R21" s="26">
        <v>0</v>
      </c>
      <c r="S21" s="26">
        <v>0</v>
      </c>
      <c r="T21" s="26">
        <v>0</v>
      </c>
      <c r="U21" s="26"/>
      <c r="V21" s="26">
        <v>0</v>
      </c>
      <c r="W21" s="26"/>
      <c r="X21" s="26"/>
      <c r="Y21" s="26"/>
      <c r="Z21" s="26">
        <v>0</v>
      </c>
      <c r="AA21" s="26">
        <v>0</v>
      </c>
      <c r="AB21" s="26"/>
      <c r="AC21" s="26">
        <v>0</v>
      </c>
      <c r="AD21" s="26">
        <v>0</v>
      </c>
      <c r="AE21" s="26">
        <v>0</v>
      </c>
      <c r="AF21" s="26">
        <v>0</v>
      </c>
      <c r="AG21" s="26"/>
      <c r="AH21" s="26">
        <v>0</v>
      </c>
      <c r="AI21" s="26">
        <v>0</v>
      </c>
      <c r="AJ21" s="26"/>
      <c r="AK21" s="26">
        <v>0</v>
      </c>
      <c r="AL21" s="26"/>
      <c r="AM21" s="26">
        <v>0</v>
      </c>
      <c r="AN21" s="26"/>
      <c r="AO21" s="26">
        <v>0</v>
      </c>
      <c r="AP21" s="26">
        <v>0</v>
      </c>
      <c r="AQ21" s="26">
        <v>2594</v>
      </c>
      <c r="AR21" s="26"/>
      <c r="AS21" s="26">
        <v>0</v>
      </c>
      <c r="AT21" s="30">
        <f t="shared" si="2"/>
        <v>2594</v>
      </c>
      <c r="AU21" s="23">
        <f t="shared" si="3"/>
        <v>9.2338656343617825E-4</v>
      </c>
    </row>
    <row r="22" spans="1:48" x14ac:dyDescent="0.2">
      <c r="A22" s="2" t="s">
        <v>46</v>
      </c>
      <c r="B22" s="26">
        <v>8877.5</v>
      </c>
      <c r="C22" s="26">
        <v>2040</v>
      </c>
      <c r="D22" s="26">
        <v>2040</v>
      </c>
      <c r="E22" s="26">
        <v>0</v>
      </c>
      <c r="F22" s="26">
        <v>8840</v>
      </c>
      <c r="G22" s="26">
        <v>2040</v>
      </c>
      <c r="H22" s="26"/>
      <c r="I22" s="26">
        <v>15677.5</v>
      </c>
      <c r="J22" s="26">
        <v>7517.5</v>
      </c>
      <c r="K22" s="26">
        <v>680</v>
      </c>
      <c r="L22" s="26">
        <v>3400</v>
      </c>
      <c r="M22" s="26">
        <v>2040</v>
      </c>
      <c r="N22" s="26"/>
      <c r="O22" s="26"/>
      <c r="P22" s="26"/>
      <c r="Q22" s="26"/>
      <c r="R22" s="26">
        <v>3400</v>
      </c>
      <c r="S22" s="26">
        <v>3400</v>
      </c>
      <c r="T22" s="26">
        <v>2077.5</v>
      </c>
      <c r="U22" s="26"/>
      <c r="V22" s="26">
        <v>2040</v>
      </c>
      <c r="W22" s="26"/>
      <c r="X22" s="26"/>
      <c r="Y22" s="26"/>
      <c r="Z22" s="26">
        <v>0</v>
      </c>
      <c r="AA22" s="26">
        <v>1360</v>
      </c>
      <c r="AB22" s="26"/>
      <c r="AC22" s="26">
        <v>3437.5</v>
      </c>
      <c r="AD22" s="26">
        <v>1360</v>
      </c>
      <c r="AE22" s="26">
        <v>680</v>
      </c>
      <c r="AF22" s="26">
        <v>3475</v>
      </c>
      <c r="AG22" s="26"/>
      <c r="AH22" s="26">
        <v>8197.5</v>
      </c>
      <c r="AI22" s="26">
        <v>2040</v>
      </c>
      <c r="AJ22" s="26"/>
      <c r="AK22" s="26">
        <v>2040</v>
      </c>
      <c r="AL22" s="26"/>
      <c r="AM22" s="26">
        <v>1360</v>
      </c>
      <c r="AN22" s="26"/>
      <c r="AO22" s="26">
        <v>680</v>
      </c>
      <c r="AP22" s="26">
        <v>8160</v>
      </c>
      <c r="AQ22" s="26">
        <v>0</v>
      </c>
      <c r="AR22" s="26"/>
      <c r="AS22" s="26">
        <v>13860</v>
      </c>
      <c r="AT22" s="30">
        <f t="shared" si="2"/>
        <v>110720</v>
      </c>
      <c r="AU22" s="23">
        <f t="shared" si="3"/>
        <v>3.9413014766250448E-2</v>
      </c>
    </row>
    <row r="23" spans="1:48" x14ac:dyDescent="0.2">
      <c r="A23" s="2" t="s">
        <v>47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/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/>
      <c r="O23" s="26"/>
      <c r="P23" s="26"/>
      <c r="Q23" s="26"/>
      <c r="R23" s="26">
        <v>0</v>
      </c>
      <c r="S23" s="26">
        <v>0</v>
      </c>
      <c r="T23" s="26">
        <v>0</v>
      </c>
      <c r="U23" s="26"/>
      <c r="V23" s="26">
        <v>0</v>
      </c>
      <c r="W23" s="26"/>
      <c r="X23" s="26"/>
      <c r="Y23" s="26"/>
      <c r="Z23" s="26">
        <v>0</v>
      </c>
      <c r="AA23" s="26">
        <v>0</v>
      </c>
      <c r="AB23" s="26"/>
      <c r="AC23" s="26">
        <v>0</v>
      </c>
      <c r="AD23" s="26">
        <v>0</v>
      </c>
      <c r="AE23" s="26">
        <v>0</v>
      </c>
      <c r="AF23" s="26">
        <v>0</v>
      </c>
      <c r="AG23" s="26"/>
      <c r="AH23" s="26">
        <v>0</v>
      </c>
      <c r="AI23" s="26">
        <v>0</v>
      </c>
      <c r="AJ23" s="26"/>
      <c r="AK23" s="26">
        <v>0</v>
      </c>
      <c r="AL23" s="26"/>
      <c r="AM23" s="26">
        <v>0</v>
      </c>
      <c r="AN23" s="26"/>
      <c r="AO23" s="26">
        <v>0</v>
      </c>
      <c r="AP23" s="26">
        <v>0</v>
      </c>
      <c r="AQ23" s="26">
        <v>0</v>
      </c>
      <c r="AR23" s="26"/>
      <c r="AS23" s="26">
        <v>0</v>
      </c>
      <c r="AT23" s="30">
        <f t="shared" si="2"/>
        <v>0</v>
      </c>
      <c r="AU23" s="23">
        <f t="shared" si="3"/>
        <v>0</v>
      </c>
    </row>
    <row r="24" spans="1:48" x14ac:dyDescent="0.2">
      <c r="A24" s="2" t="s">
        <v>48</v>
      </c>
      <c r="B24" s="26">
        <v>283.61999999999989</v>
      </c>
      <c r="C24" s="26">
        <v>283.61999999999989</v>
      </c>
      <c r="D24" s="26">
        <v>283.62000000000012</v>
      </c>
      <c r="E24" s="26">
        <v>283.61999999999989</v>
      </c>
      <c r="F24" s="26">
        <v>283.61999999999989</v>
      </c>
      <c r="G24" s="26">
        <v>283.61999999999989</v>
      </c>
      <c r="H24" s="26"/>
      <c r="I24" s="26">
        <v>283.61999999999989</v>
      </c>
      <c r="J24" s="26">
        <v>283.61999999999989</v>
      </c>
      <c r="K24" s="26">
        <v>0</v>
      </c>
      <c r="L24" s="26">
        <v>283.61999999999989</v>
      </c>
      <c r="M24" s="26">
        <v>283.61999999999989</v>
      </c>
      <c r="N24" s="26"/>
      <c r="O24" s="26"/>
      <c r="P24" s="26"/>
      <c r="Q24" s="26"/>
      <c r="R24" s="26">
        <v>567.23999999999978</v>
      </c>
      <c r="S24" s="26">
        <v>283.61999999999989</v>
      </c>
      <c r="T24" s="26">
        <v>283.61999999999989</v>
      </c>
      <c r="U24" s="26"/>
      <c r="V24" s="26">
        <v>283.61999999999989</v>
      </c>
      <c r="W24" s="26"/>
      <c r="X24" s="26"/>
      <c r="Y24" s="26"/>
      <c r="Z24" s="26">
        <v>283.61999999999989</v>
      </c>
      <c r="AA24" s="26">
        <v>283.61999999999989</v>
      </c>
      <c r="AB24" s="26"/>
      <c r="AC24" s="26">
        <v>283.61999999999989</v>
      </c>
      <c r="AD24" s="26">
        <v>283.61999999999989</v>
      </c>
      <c r="AE24" s="26">
        <v>283.61999999999989</v>
      </c>
      <c r="AF24" s="26">
        <v>567.23999999999978</v>
      </c>
      <c r="AG24" s="26"/>
      <c r="AH24" s="26">
        <v>283.61999999999989</v>
      </c>
      <c r="AI24" s="26">
        <v>283.61999999999989</v>
      </c>
      <c r="AJ24" s="26"/>
      <c r="AK24" s="26">
        <v>283.61999999999989</v>
      </c>
      <c r="AL24" s="26"/>
      <c r="AM24" s="26">
        <v>283.61999999999989</v>
      </c>
      <c r="AN24" s="26"/>
      <c r="AO24" s="26">
        <v>283.61999999999989</v>
      </c>
      <c r="AP24" s="26">
        <v>567.23999999999978</v>
      </c>
      <c r="AQ24" s="26">
        <v>283.61999999999989</v>
      </c>
      <c r="AR24" s="26"/>
      <c r="AS24" s="26">
        <v>2896.58</v>
      </c>
      <c r="AT24" s="30">
        <f t="shared" si="2"/>
        <v>11405.179999999995</v>
      </c>
      <c r="AU24" s="23">
        <f t="shared" si="3"/>
        <v>4.0599036104745669E-3</v>
      </c>
    </row>
    <row r="25" spans="1:48" x14ac:dyDescent="0.2">
      <c r="A25" s="2" t="s">
        <v>49</v>
      </c>
      <c r="B25" s="26">
        <v>65.489999999999782</v>
      </c>
      <c r="C25" s="26">
        <v>65.490000000000009</v>
      </c>
      <c r="D25" s="26">
        <v>0</v>
      </c>
      <c r="E25" s="26">
        <v>0</v>
      </c>
      <c r="F25" s="26">
        <v>65.490000000000236</v>
      </c>
      <c r="G25" s="26">
        <v>65.490000000000009</v>
      </c>
      <c r="H25" s="26"/>
      <c r="I25" s="26">
        <v>65.489999999999782</v>
      </c>
      <c r="J25" s="26">
        <v>65.490000000000009</v>
      </c>
      <c r="K25" s="26">
        <v>0</v>
      </c>
      <c r="L25" s="26">
        <v>65.490000000000009</v>
      </c>
      <c r="M25" s="26">
        <v>65.490000000000009</v>
      </c>
      <c r="N25" s="26"/>
      <c r="O25" s="26"/>
      <c r="P25" s="26"/>
      <c r="Q25" s="26"/>
      <c r="R25" s="26">
        <v>65.490000000000009</v>
      </c>
      <c r="S25" s="26">
        <v>65.490000000000009</v>
      </c>
      <c r="T25" s="26">
        <v>65.490000000000009</v>
      </c>
      <c r="U25" s="26"/>
      <c r="V25" s="26">
        <v>0</v>
      </c>
      <c r="W25" s="26"/>
      <c r="X25" s="26"/>
      <c r="Y25" s="26"/>
      <c r="Z25" s="26">
        <v>0</v>
      </c>
      <c r="AA25" s="26">
        <v>0</v>
      </c>
      <c r="AB25" s="26"/>
      <c r="AC25" s="26">
        <v>65.490000000000236</v>
      </c>
      <c r="AD25" s="26">
        <v>0</v>
      </c>
      <c r="AE25" s="26">
        <v>0</v>
      </c>
      <c r="AF25" s="26">
        <v>65.490000000000009</v>
      </c>
      <c r="AG25" s="26"/>
      <c r="AH25" s="26">
        <v>65.490000000000009</v>
      </c>
      <c r="AI25" s="26">
        <v>65.490000000000009</v>
      </c>
      <c r="AJ25" s="26"/>
      <c r="AK25" s="26">
        <v>65.490000000000009</v>
      </c>
      <c r="AL25" s="26"/>
      <c r="AM25" s="26">
        <v>0</v>
      </c>
      <c r="AN25" s="26"/>
      <c r="AO25" s="26">
        <v>0</v>
      </c>
      <c r="AP25" s="26">
        <v>65.470000000000027</v>
      </c>
      <c r="AQ25" s="26">
        <v>0</v>
      </c>
      <c r="AR25" s="26"/>
      <c r="AS25" s="26">
        <v>0</v>
      </c>
      <c r="AT25" s="30">
        <f t="shared" si="2"/>
        <v>1113.3100000000002</v>
      </c>
      <c r="AU25" s="23">
        <f t="shared" si="3"/>
        <v>3.9630512526566374E-4</v>
      </c>
    </row>
    <row r="26" spans="1:48" x14ac:dyDescent="0.2">
      <c r="A26" s="2" t="s">
        <v>50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/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/>
      <c r="O26" s="26"/>
      <c r="P26" s="26"/>
      <c r="Q26" s="26"/>
      <c r="R26" s="26">
        <v>0</v>
      </c>
      <c r="S26" s="26">
        <v>0</v>
      </c>
      <c r="T26" s="26">
        <v>0</v>
      </c>
      <c r="U26" s="26"/>
      <c r="V26" s="26">
        <v>0</v>
      </c>
      <c r="W26" s="26"/>
      <c r="X26" s="26"/>
      <c r="Y26" s="26"/>
      <c r="Z26" s="26">
        <v>0</v>
      </c>
      <c r="AA26" s="26">
        <v>0</v>
      </c>
      <c r="AB26" s="26"/>
      <c r="AC26" s="26">
        <v>0</v>
      </c>
      <c r="AD26" s="26">
        <v>0</v>
      </c>
      <c r="AE26" s="26">
        <v>0</v>
      </c>
      <c r="AF26" s="26">
        <v>0</v>
      </c>
      <c r="AG26" s="26"/>
      <c r="AH26" s="26">
        <v>0</v>
      </c>
      <c r="AI26" s="26">
        <v>0</v>
      </c>
      <c r="AJ26" s="26"/>
      <c r="AK26" s="26">
        <v>0</v>
      </c>
      <c r="AL26" s="26"/>
      <c r="AM26" s="26">
        <v>0</v>
      </c>
      <c r="AN26" s="26"/>
      <c r="AO26" s="26">
        <v>0</v>
      </c>
      <c r="AP26" s="26">
        <v>0</v>
      </c>
      <c r="AQ26" s="26">
        <v>0</v>
      </c>
      <c r="AR26" s="26"/>
      <c r="AS26" s="26">
        <v>44837.89</v>
      </c>
      <c r="AT26" s="30">
        <f t="shared" si="2"/>
        <v>44837.89</v>
      </c>
      <c r="AU26" s="23">
        <f t="shared" si="3"/>
        <v>1.5960950331083031E-2</v>
      </c>
    </row>
    <row r="27" spans="1:48" x14ac:dyDescent="0.2">
      <c r="A27" s="2" t="s">
        <v>51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/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/>
      <c r="O27" s="26"/>
      <c r="P27" s="26"/>
      <c r="Q27" s="26"/>
      <c r="R27" s="26">
        <v>0</v>
      </c>
      <c r="S27" s="26">
        <v>0</v>
      </c>
      <c r="T27" s="26">
        <v>0</v>
      </c>
      <c r="U27" s="26"/>
      <c r="V27" s="26">
        <v>0</v>
      </c>
      <c r="W27" s="26"/>
      <c r="X27" s="26"/>
      <c r="Y27" s="26"/>
      <c r="Z27" s="26">
        <v>0</v>
      </c>
      <c r="AA27" s="26">
        <v>0</v>
      </c>
      <c r="AB27" s="26"/>
      <c r="AC27" s="26">
        <v>0</v>
      </c>
      <c r="AD27" s="26">
        <v>0</v>
      </c>
      <c r="AE27" s="26">
        <v>0</v>
      </c>
      <c r="AF27" s="26">
        <v>0</v>
      </c>
      <c r="AG27" s="26"/>
      <c r="AH27" s="26">
        <v>0</v>
      </c>
      <c r="AI27" s="26">
        <v>0</v>
      </c>
      <c r="AJ27" s="26"/>
      <c r="AK27" s="26">
        <v>0</v>
      </c>
      <c r="AL27" s="26"/>
      <c r="AM27" s="26">
        <v>0</v>
      </c>
      <c r="AN27" s="26"/>
      <c r="AO27" s="26">
        <v>0</v>
      </c>
      <c r="AP27" s="26">
        <v>0</v>
      </c>
      <c r="AQ27" s="26">
        <v>0</v>
      </c>
      <c r="AR27" s="26"/>
      <c r="AS27" s="26">
        <v>0</v>
      </c>
      <c r="AT27" s="30">
        <f t="shared" si="2"/>
        <v>0</v>
      </c>
      <c r="AU27" s="23">
        <f t="shared" si="3"/>
        <v>0</v>
      </c>
    </row>
    <row r="28" spans="1:48" x14ac:dyDescent="0.2">
      <c r="A28" s="2" t="s">
        <v>52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/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/>
      <c r="O28" s="26"/>
      <c r="P28" s="26"/>
      <c r="Q28" s="26"/>
      <c r="R28" s="26">
        <v>0</v>
      </c>
      <c r="S28" s="26">
        <v>0</v>
      </c>
      <c r="T28" s="26">
        <v>0</v>
      </c>
      <c r="U28" s="26"/>
      <c r="V28" s="26">
        <v>0</v>
      </c>
      <c r="W28" s="26"/>
      <c r="X28" s="26"/>
      <c r="Y28" s="26"/>
      <c r="Z28" s="26">
        <v>0</v>
      </c>
      <c r="AA28" s="26">
        <v>0</v>
      </c>
      <c r="AB28" s="26"/>
      <c r="AC28" s="26">
        <v>0</v>
      </c>
      <c r="AD28" s="26">
        <v>0</v>
      </c>
      <c r="AE28" s="26">
        <v>0</v>
      </c>
      <c r="AF28" s="26">
        <v>0</v>
      </c>
      <c r="AG28" s="26"/>
      <c r="AH28" s="26">
        <v>0</v>
      </c>
      <c r="AI28" s="26">
        <v>0</v>
      </c>
      <c r="AJ28" s="26"/>
      <c r="AK28" s="26">
        <v>0</v>
      </c>
      <c r="AL28" s="26"/>
      <c r="AM28" s="26">
        <v>0</v>
      </c>
      <c r="AN28" s="26"/>
      <c r="AO28" s="26">
        <v>0</v>
      </c>
      <c r="AP28" s="26">
        <v>0</v>
      </c>
      <c r="AQ28" s="26">
        <v>0</v>
      </c>
      <c r="AR28" s="26"/>
      <c r="AS28" s="26">
        <v>2100</v>
      </c>
      <c r="AT28" s="30">
        <f t="shared" si="2"/>
        <v>2100</v>
      </c>
      <c r="AU28" s="23">
        <f t="shared" si="3"/>
        <v>7.4753731041479353E-4</v>
      </c>
    </row>
    <row r="29" spans="1:48" x14ac:dyDescent="0.2">
      <c r="A29" s="2" t="s">
        <v>53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/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/>
      <c r="O29" s="26"/>
      <c r="P29" s="26"/>
      <c r="Q29" s="26"/>
      <c r="R29" s="26">
        <v>0</v>
      </c>
      <c r="S29" s="26">
        <v>0</v>
      </c>
      <c r="T29" s="26">
        <v>0</v>
      </c>
      <c r="U29" s="26"/>
      <c r="V29" s="26">
        <v>0</v>
      </c>
      <c r="W29" s="26"/>
      <c r="X29" s="26"/>
      <c r="Y29" s="26"/>
      <c r="Z29" s="26">
        <v>0</v>
      </c>
      <c r="AA29" s="26">
        <v>0</v>
      </c>
      <c r="AB29" s="26"/>
      <c r="AC29" s="26">
        <v>0</v>
      </c>
      <c r="AD29" s="26">
        <v>0</v>
      </c>
      <c r="AE29" s="26">
        <v>0</v>
      </c>
      <c r="AF29" s="26">
        <v>0</v>
      </c>
      <c r="AG29" s="26"/>
      <c r="AH29" s="26">
        <v>0</v>
      </c>
      <c r="AI29" s="26">
        <v>0</v>
      </c>
      <c r="AJ29" s="26"/>
      <c r="AK29" s="26">
        <v>0</v>
      </c>
      <c r="AL29" s="26"/>
      <c r="AM29" s="26">
        <v>0</v>
      </c>
      <c r="AN29" s="26"/>
      <c r="AO29" s="26">
        <v>0</v>
      </c>
      <c r="AP29" s="26">
        <v>0</v>
      </c>
      <c r="AQ29" s="26">
        <v>0</v>
      </c>
      <c r="AR29" s="26"/>
      <c r="AS29" s="26">
        <v>220.58</v>
      </c>
      <c r="AT29" s="30">
        <f t="shared" si="2"/>
        <v>220.58</v>
      </c>
      <c r="AU29" s="23">
        <f t="shared" si="3"/>
        <v>7.8519895205378642E-5</v>
      </c>
    </row>
    <row r="30" spans="1:48" x14ac:dyDescent="0.2">
      <c r="A30" s="2" t="s">
        <v>54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/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/>
      <c r="O30" s="26"/>
      <c r="P30" s="26"/>
      <c r="Q30" s="26"/>
      <c r="R30" s="26">
        <v>0</v>
      </c>
      <c r="S30" s="26">
        <v>0</v>
      </c>
      <c r="T30" s="26">
        <v>0</v>
      </c>
      <c r="U30" s="26"/>
      <c r="V30" s="26">
        <v>0</v>
      </c>
      <c r="W30" s="26"/>
      <c r="X30" s="26"/>
      <c r="Y30" s="26"/>
      <c r="Z30" s="26">
        <v>0</v>
      </c>
      <c r="AA30" s="26">
        <v>0</v>
      </c>
      <c r="AB30" s="26"/>
      <c r="AC30" s="26">
        <v>0</v>
      </c>
      <c r="AD30" s="26">
        <v>0</v>
      </c>
      <c r="AE30" s="26">
        <v>0</v>
      </c>
      <c r="AF30" s="26">
        <v>0</v>
      </c>
      <c r="AG30" s="26"/>
      <c r="AH30" s="26">
        <v>0</v>
      </c>
      <c r="AI30" s="26">
        <v>0</v>
      </c>
      <c r="AJ30" s="26"/>
      <c r="AK30" s="26">
        <v>0</v>
      </c>
      <c r="AL30" s="26"/>
      <c r="AM30" s="26">
        <v>0</v>
      </c>
      <c r="AN30" s="26"/>
      <c r="AO30" s="26">
        <v>0</v>
      </c>
      <c r="AP30" s="26">
        <v>0</v>
      </c>
      <c r="AQ30" s="26">
        <v>0</v>
      </c>
      <c r="AR30" s="26"/>
      <c r="AS30" s="26">
        <v>0</v>
      </c>
      <c r="AT30" s="30">
        <f t="shared" si="2"/>
        <v>0</v>
      </c>
      <c r="AU30" s="23">
        <f t="shared" si="3"/>
        <v>0</v>
      </c>
    </row>
    <row r="31" spans="1:48" x14ac:dyDescent="0.2">
      <c r="A31" s="2" t="s">
        <v>55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/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/>
      <c r="O31" s="26"/>
      <c r="P31" s="26"/>
      <c r="Q31" s="26"/>
      <c r="R31" s="26">
        <v>0</v>
      </c>
      <c r="S31" s="26">
        <v>0</v>
      </c>
      <c r="T31" s="26">
        <v>0</v>
      </c>
      <c r="U31" s="26"/>
      <c r="V31" s="26">
        <v>0</v>
      </c>
      <c r="W31" s="26"/>
      <c r="X31" s="26"/>
      <c r="Y31" s="26"/>
      <c r="Z31" s="26">
        <v>0</v>
      </c>
      <c r="AA31" s="26">
        <v>0</v>
      </c>
      <c r="AB31" s="26"/>
      <c r="AC31" s="26">
        <v>0</v>
      </c>
      <c r="AD31" s="26">
        <v>0</v>
      </c>
      <c r="AE31" s="26">
        <v>0</v>
      </c>
      <c r="AF31" s="26">
        <v>0</v>
      </c>
      <c r="AG31" s="26"/>
      <c r="AH31" s="26">
        <v>0</v>
      </c>
      <c r="AI31" s="26">
        <v>0</v>
      </c>
      <c r="AJ31" s="26"/>
      <c r="AK31" s="26">
        <v>0</v>
      </c>
      <c r="AL31" s="26"/>
      <c r="AM31" s="26">
        <v>0</v>
      </c>
      <c r="AN31" s="26"/>
      <c r="AO31" s="26">
        <v>0</v>
      </c>
      <c r="AP31" s="26">
        <v>0</v>
      </c>
      <c r="AQ31" s="26">
        <v>0</v>
      </c>
      <c r="AR31" s="26"/>
      <c r="AS31" s="26">
        <v>18514.599999999999</v>
      </c>
      <c r="AT31" s="30">
        <f t="shared" si="2"/>
        <v>18514.599999999999</v>
      </c>
      <c r="AU31" s="23">
        <f t="shared" si="3"/>
        <v>6.5906448987646353E-3</v>
      </c>
    </row>
    <row r="32" spans="1:48" x14ac:dyDescent="0.2">
      <c r="A32" s="2" t="s">
        <v>56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/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/>
      <c r="O32" s="26"/>
      <c r="P32" s="26"/>
      <c r="Q32" s="26"/>
      <c r="R32" s="26">
        <v>0</v>
      </c>
      <c r="S32" s="26">
        <v>0</v>
      </c>
      <c r="T32" s="26">
        <v>0</v>
      </c>
      <c r="U32" s="26"/>
      <c r="V32" s="26">
        <v>0</v>
      </c>
      <c r="W32" s="26"/>
      <c r="X32" s="26"/>
      <c r="Y32" s="26"/>
      <c r="Z32" s="26">
        <v>0</v>
      </c>
      <c r="AA32" s="26">
        <v>0</v>
      </c>
      <c r="AB32" s="26"/>
      <c r="AC32" s="26">
        <v>0</v>
      </c>
      <c r="AD32" s="26">
        <v>0</v>
      </c>
      <c r="AE32" s="26">
        <v>0</v>
      </c>
      <c r="AF32" s="26">
        <v>0</v>
      </c>
      <c r="AG32" s="26"/>
      <c r="AH32" s="26">
        <v>0</v>
      </c>
      <c r="AI32" s="26">
        <v>0</v>
      </c>
      <c r="AJ32" s="26"/>
      <c r="AK32" s="26">
        <v>0</v>
      </c>
      <c r="AL32" s="26"/>
      <c r="AM32" s="26">
        <v>0</v>
      </c>
      <c r="AN32" s="26"/>
      <c r="AO32" s="26">
        <v>0</v>
      </c>
      <c r="AP32" s="26">
        <v>0</v>
      </c>
      <c r="AQ32" s="26">
        <v>0</v>
      </c>
      <c r="AR32" s="26"/>
      <c r="AS32" s="26">
        <v>0</v>
      </c>
      <c r="AT32" s="30">
        <f t="shared" si="2"/>
        <v>0</v>
      </c>
      <c r="AU32" s="23">
        <f t="shared" si="3"/>
        <v>0</v>
      </c>
    </row>
    <row r="33" spans="1:48" x14ac:dyDescent="0.2">
      <c r="A33" s="76" t="s">
        <v>102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/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/>
      <c r="O33" s="26"/>
      <c r="P33" s="26"/>
      <c r="Q33" s="26"/>
      <c r="R33" s="26">
        <v>0</v>
      </c>
      <c r="S33" s="26">
        <v>0</v>
      </c>
      <c r="T33" s="26">
        <v>0</v>
      </c>
      <c r="U33" s="26"/>
      <c r="V33" s="26">
        <v>0</v>
      </c>
      <c r="W33" s="26"/>
      <c r="X33" s="26"/>
      <c r="Y33" s="26"/>
      <c r="Z33" s="26">
        <v>0</v>
      </c>
      <c r="AA33" s="26">
        <v>0</v>
      </c>
      <c r="AB33" s="26"/>
      <c r="AC33" s="26">
        <v>0</v>
      </c>
      <c r="AD33" s="26">
        <v>0</v>
      </c>
      <c r="AE33" s="26">
        <v>0</v>
      </c>
      <c r="AF33" s="26">
        <v>0</v>
      </c>
      <c r="AG33" s="26"/>
      <c r="AH33" s="26">
        <v>0</v>
      </c>
      <c r="AI33" s="26">
        <v>0</v>
      </c>
      <c r="AJ33" s="26"/>
      <c r="AK33" s="26">
        <v>0</v>
      </c>
      <c r="AL33" s="26"/>
      <c r="AM33" s="26">
        <v>0</v>
      </c>
      <c r="AN33" s="26"/>
      <c r="AO33" s="26">
        <v>0</v>
      </c>
      <c r="AP33" s="26">
        <v>0</v>
      </c>
      <c r="AQ33" s="26">
        <v>0</v>
      </c>
      <c r="AR33" s="26"/>
      <c r="AS33" s="26">
        <v>5000</v>
      </c>
      <c r="AT33" s="30">
        <f t="shared" si="2"/>
        <v>5000</v>
      </c>
      <c r="AU33" s="23">
        <f t="shared" si="3"/>
        <v>1.7798507390828417E-3</v>
      </c>
    </row>
    <row r="34" spans="1:48" x14ac:dyDescent="0.2">
      <c r="A34" s="2" t="s">
        <v>57</v>
      </c>
      <c r="B34" s="26">
        <v>377.59</v>
      </c>
      <c r="C34" s="26">
        <v>0</v>
      </c>
      <c r="D34" s="26">
        <v>0</v>
      </c>
      <c r="E34" s="26">
        <v>0</v>
      </c>
      <c r="F34" s="26">
        <v>0</v>
      </c>
      <c r="G34" s="26">
        <v>0</v>
      </c>
      <c r="H34" s="26"/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/>
      <c r="O34" s="26"/>
      <c r="P34" s="26"/>
      <c r="Q34" s="26"/>
      <c r="R34" s="26">
        <v>0</v>
      </c>
      <c r="S34" s="26">
        <v>0</v>
      </c>
      <c r="T34" s="26">
        <v>0</v>
      </c>
      <c r="U34" s="26"/>
      <c r="V34" s="26">
        <v>0</v>
      </c>
      <c r="W34" s="26"/>
      <c r="X34" s="26"/>
      <c r="Y34" s="26"/>
      <c r="Z34" s="26">
        <v>0</v>
      </c>
      <c r="AA34" s="26">
        <v>0</v>
      </c>
      <c r="AB34" s="26"/>
      <c r="AC34" s="26">
        <v>0</v>
      </c>
      <c r="AD34" s="26">
        <v>0</v>
      </c>
      <c r="AE34" s="26">
        <v>0</v>
      </c>
      <c r="AF34" s="26">
        <v>0</v>
      </c>
      <c r="AG34" s="26"/>
      <c r="AH34" s="26">
        <v>1612.4099999999999</v>
      </c>
      <c r="AI34" s="26">
        <v>0</v>
      </c>
      <c r="AJ34" s="26"/>
      <c r="AK34" s="26">
        <v>0</v>
      </c>
      <c r="AL34" s="26"/>
      <c r="AM34" s="26">
        <v>0</v>
      </c>
      <c r="AN34" s="26"/>
      <c r="AO34" s="26">
        <v>0</v>
      </c>
      <c r="AP34" s="26">
        <v>1464.6599999999999</v>
      </c>
      <c r="AQ34" s="26">
        <v>0</v>
      </c>
      <c r="AR34" s="26"/>
      <c r="AS34" s="26">
        <v>25453.279999999999</v>
      </c>
      <c r="AT34" s="30">
        <f t="shared" si="2"/>
        <v>28907.94</v>
      </c>
      <c r="AU34" s="23">
        <f t="shared" si="3"/>
        <v>1.0290363674872488E-2</v>
      </c>
    </row>
    <row r="35" spans="1:48" x14ac:dyDescent="0.2">
      <c r="A35" s="2" t="s">
        <v>58</v>
      </c>
      <c r="B35" s="26">
        <v>0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/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/>
      <c r="O35" s="26"/>
      <c r="P35" s="26"/>
      <c r="Q35" s="26"/>
      <c r="R35" s="26">
        <v>0</v>
      </c>
      <c r="S35" s="26">
        <v>0</v>
      </c>
      <c r="T35" s="26">
        <v>0</v>
      </c>
      <c r="U35" s="26"/>
      <c r="V35" s="26">
        <v>0</v>
      </c>
      <c r="W35" s="26"/>
      <c r="X35" s="26"/>
      <c r="Y35" s="26"/>
      <c r="Z35" s="26">
        <v>0</v>
      </c>
      <c r="AA35" s="26">
        <v>0</v>
      </c>
      <c r="AB35" s="26"/>
      <c r="AC35" s="26">
        <v>0</v>
      </c>
      <c r="AD35" s="26">
        <v>0</v>
      </c>
      <c r="AE35" s="26">
        <v>0</v>
      </c>
      <c r="AF35" s="26">
        <v>0</v>
      </c>
      <c r="AG35" s="26"/>
      <c r="AH35" s="26">
        <v>0</v>
      </c>
      <c r="AI35" s="26">
        <v>0</v>
      </c>
      <c r="AJ35" s="26"/>
      <c r="AK35" s="26">
        <v>0</v>
      </c>
      <c r="AL35" s="26"/>
      <c r="AM35" s="26">
        <v>0</v>
      </c>
      <c r="AN35" s="26"/>
      <c r="AO35" s="26">
        <v>0</v>
      </c>
      <c r="AP35" s="26">
        <v>0</v>
      </c>
      <c r="AQ35" s="26">
        <v>0</v>
      </c>
      <c r="AR35" s="26"/>
      <c r="AS35" s="26">
        <v>0</v>
      </c>
      <c r="AT35" s="30">
        <f t="shared" si="2"/>
        <v>0</v>
      </c>
      <c r="AU35" s="23">
        <f t="shared" si="3"/>
        <v>0</v>
      </c>
    </row>
    <row r="36" spans="1:48" x14ac:dyDescent="0.2">
      <c r="A36" s="2" t="s">
        <v>59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/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/>
      <c r="O36" s="26"/>
      <c r="P36" s="26"/>
      <c r="Q36" s="26"/>
      <c r="R36" s="26">
        <v>0</v>
      </c>
      <c r="S36" s="26">
        <v>0</v>
      </c>
      <c r="T36" s="26">
        <v>0</v>
      </c>
      <c r="U36" s="26"/>
      <c r="V36" s="26">
        <v>0</v>
      </c>
      <c r="W36" s="26"/>
      <c r="X36" s="26"/>
      <c r="Y36" s="26"/>
      <c r="Z36" s="26">
        <v>0</v>
      </c>
      <c r="AA36" s="26">
        <v>0</v>
      </c>
      <c r="AB36" s="26"/>
      <c r="AC36" s="26">
        <v>0</v>
      </c>
      <c r="AD36" s="26">
        <v>0</v>
      </c>
      <c r="AE36" s="26">
        <v>0</v>
      </c>
      <c r="AF36" s="26">
        <v>0</v>
      </c>
      <c r="AG36" s="26"/>
      <c r="AH36" s="26">
        <v>0</v>
      </c>
      <c r="AI36" s="26">
        <v>0</v>
      </c>
      <c r="AJ36" s="26"/>
      <c r="AK36" s="26">
        <v>0</v>
      </c>
      <c r="AL36" s="26"/>
      <c r="AM36" s="26">
        <v>0</v>
      </c>
      <c r="AN36" s="26"/>
      <c r="AO36" s="26">
        <v>0</v>
      </c>
      <c r="AP36" s="26">
        <v>0</v>
      </c>
      <c r="AQ36" s="26">
        <v>0</v>
      </c>
      <c r="AR36" s="26"/>
      <c r="AS36" s="26">
        <v>0</v>
      </c>
      <c r="AT36" s="30">
        <f t="shared" si="2"/>
        <v>0</v>
      </c>
      <c r="AU36" s="23">
        <f t="shared" si="3"/>
        <v>0</v>
      </c>
    </row>
    <row r="37" spans="1:48" x14ac:dyDescent="0.2">
      <c r="A37" s="2" t="s">
        <v>60</v>
      </c>
      <c r="B37" s="26">
        <v>0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/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/>
      <c r="O37" s="26"/>
      <c r="P37" s="26"/>
      <c r="Q37" s="26"/>
      <c r="R37" s="26">
        <v>0</v>
      </c>
      <c r="S37" s="26">
        <v>0</v>
      </c>
      <c r="T37" s="26">
        <v>0</v>
      </c>
      <c r="U37" s="26"/>
      <c r="V37" s="26">
        <v>0</v>
      </c>
      <c r="W37" s="26"/>
      <c r="X37" s="26"/>
      <c r="Y37" s="26"/>
      <c r="Z37" s="26">
        <v>0</v>
      </c>
      <c r="AA37" s="26">
        <v>0</v>
      </c>
      <c r="AB37" s="26"/>
      <c r="AC37" s="26">
        <v>0</v>
      </c>
      <c r="AD37" s="26">
        <v>0</v>
      </c>
      <c r="AE37" s="26">
        <v>0</v>
      </c>
      <c r="AF37" s="26">
        <v>0</v>
      </c>
      <c r="AG37" s="26"/>
      <c r="AH37" s="26">
        <v>0</v>
      </c>
      <c r="AI37" s="26">
        <v>0</v>
      </c>
      <c r="AJ37" s="26"/>
      <c r="AK37" s="26">
        <v>0</v>
      </c>
      <c r="AL37" s="26"/>
      <c r="AM37" s="26">
        <v>0</v>
      </c>
      <c r="AN37" s="26"/>
      <c r="AO37" s="26">
        <v>0</v>
      </c>
      <c r="AP37" s="26">
        <v>0</v>
      </c>
      <c r="AQ37" s="26">
        <v>0</v>
      </c>
      <c r="AR37" s="26"/>
      <c r="AS37" s="26">
        <v>0</v>
      </c>
      <c r="AT37" s="30">
        <f t="shared" si="2"/>
        <v>0</v>
      </c>
      <c r="AU37" s="23">
        <f t="shared" si="3"/>
        <v>0</v>
      </c>
    </row>
    <row r="38" spans="1:48" x14ac:dyDescent="0.2">
      <c r="A38" s="2" t="s">
        <v>61</v>
      </c>
      <c r="B38" s="26">
        <v>0</v>
      </c>
      <c r="C38" s="26">
        <v>0</v>
      </c>
      <c r="D38" s="26">
        <v>0</v>
      </c>
      <c r="E38" s="26">
        <v>0</v>
      </c>
      <c r="F38" s="26">
        <v>0</v>
      </c>
      <c r="G38" s="26">
        <v>0</v>
      </c>
      <c r="H38" s="26"/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/>
      <c r="O38" s="26"/>
      <c r="P38" s="26"/>
      <c r="Q38" s="26"/>
      <c r="R38" s="26">
        <v>0</v>
      </c>
      <c r="S38" s="26">
        <v>0</v>
      </c>
      <c r="T38" s="26">
        <v>0</v>
      </c>
      <c r="U38" s="26"/>
      <c r="V38" s="26">
        <v>0</v>
      </c>
      <c r="W38" s="26"/>
      <c r="X38" s="26"/>
      <c r="Y38" s="26"/>
      <c r="Z38" s="26">
        <v>0</v>
      </c>
      <c r="AA38" s="26">
        <v>0</v>
      </c>
      <c r="AB38" s="26"/>
      <c r="AC38" s="26">
        <v>0</v>
      </c>
      <c r="AD38" s="26">
        <v>0</v>
      </c>
      <c r="AE38" s="26">
        <v>0</v>
      </c>
      <c r="AF38" s="26">
        <v>0</v>
      </c>
      <c r="AG38" s="26"/>
      <c r="AH38" s="26">
        <v>0</v>
      </c>
      <c r="AI38" s="26">
        <v>0</v>
      </c>
      <c r="AJ38" s="26"/>
      <c r="AK38" s="26">
        <v>0</v>
      </c>
      <c r="AL38" s="26"/>
      <c r="AM38" s="26">
        <v>0</v>
      </c>
      <c r="AN38" s="26"/>
      <c r="AO38" s="26">
        <v>0</v>
      </c>
      <c r="AP38" s="26">
        <v>0</v>
      </c>
      <c r="AQ38" s="26">
        <v>0</v>
      </c>
      <c r="AR38" s="26"/>
      <c r="AS38" s="26">
        <v>0</v>
      </c>
      <c r="AT38" s="30">
        <f t="shared" si="2"/>
        <v>0</v>
      </c>
      <c r="AU38" s="23">
        <f t="shared" si="3"/>
        <v>0</v>
      </c>
    </row>
    <row r="39" spans="1:48" x14ac:dyDescent="0.2">
      <c r="A39" s="76" t="s">
        <v>105</v>
      </c>
      <c r="B39" s="26">
        <v>0</v>
      </c>
      <c r="C39" s="26">
        <v>0</v>
      </c>
      <c r="D39" s="26">
        <v>0</v>
      </c>
      <c r="E39" s="26">
        <v>0</v>
      </c>
      <c r="F39" s="26">
        <v>500</v>
      </c>
      <c r="G39" s="26">
        <v>0</v>
      </c>
      <c r="H39" s="26"/>
      <c r="I39" s="26">
        <v>0</v>
      </c>
      <c r="J39" s="26">
        <v>695</v>
      </c>
      <c r="K39" s="26">
        <v>0</v>
      </c>
      <c r="L39" s="26">
        <v>0</v>
      </c>
      <c r="M39" s="26">
        <v>0</v>
      </c>
      <c r="N39" s="26"/>
      <c r="O39" s="26"/>
      <c r="P39" s="26"/>
      <c r="Q39" s="26"/>
      <c r="R39" s="26">
        <v>0</v>
      </c>
      <c r="S39" s="26">
        <v>0</v>
      </c>
      <c r="T39" s="26">
        <v>0</v>
      </c>
      <c r="U39" s="26"/>
      <c r="V39" s="26">
        <v>0</v>
      </c>
      <c r="W39" s="26"/>
      <c r="X39" s="26"/>
      <c r="Y39" s="26"/>
      <c r="Z39" s="26">
        <v>0</v>
      </c>
      <c r="AA39" s="26">
        <v>0</v>
      </c>
      <c r="AB39" s="26"/>
      <c r="AC39" s="26">
        <v>0</v>
      </c>
      <c r="AD39" s="26">
        <v>0</v>
      </c>
      <c r="AE39" s="26">
        <v>0</v>
      </c>
      <c r="AF39" s="26">
        <v>0</v>
      </c>
      <c r="AG39" s="26"/>
      <c r="AH39" s="26">
        <v>0</v>
      </c>
      <c r="AI39" s="26">
        <v>0</v>
      </c>
      <c r="AJ39" s="26"/>
      <c r="AK39" s="26">
        <v>0</v>
      </c>
      <c r="AL39" s="26"/>
      <c r="AM39" s="26">
        <v>0</v>
      </c>
      <c r="AN39" s="26"/>
      <c r="AO39" s="26">
        <v>0</v>
      </c>
      <c r="AP39" s="26">
        <v>0</v>
      </c>
      <c r="AQ39" s="26">
        <v>0</v>
      </c>
      <c r="AR39" s="26"/>
      <c r="AS39" s="26">
        <v>3275.86</v>
      </c>
      <c r="AT39" s="30">
        <f t="shared" si="2"/>
        <v>4470.8600000000006</v>
      </c>
      <c r="AU39" s="23">
        <f t="shared" si="3"/>
        <v>1.591492695067183E-3</v>
      </c>
    </row>
    <row r="40" spans="1:48" x14ac:dyDescent="0.2">
      <c r="A40" s="2" t="s">
        <v>62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/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/>
      <c r="O40" s="26"/>
      <c r="P40" s="26"/>
      <c r="Q40" s="26"/>
      <c r="R40" s="26">
        <v>0</v>
      </c>
      <c r="S40" s="26">
        <v>0</v>
      </c>
      <c r="T40" s="26">
        <v>0</v>
      </c>
      <c r="U40" s="26"/>
      <c r="V40" s="26">
        <v>0</v>
      </c>
      <c r="W40" s="26"/>
      <c r="X40" s="26"/>
      <c r="Y40" s="26"/>
      <c r="Z40" s="26">
        <v>0</v>
      </c>
      <c r="AA40" s="26">
        <v>0</v>
      </c>
      <c r="AB40" s="26"/>
      <c r="AC40" s="26">
        <v>0</v>
      </c>
      <c r="AD40" s="26">
        <v>0</v>
      </c>
      <c r="AE40" s="26">
        <v>0</v>
      </c>
      <c r="AF40" s="26">
        <v>0</v>
      </c>
      <c r="AG40" s="26"/>
      <c r="AH40" s="26">
        <v>0</v>
      </c>
      <c r="AI40" s="26">
        <v>0</v>
      </c>
      <c r="AJ40" s="26"/>
      <c r="AK40" s="26"/>
      <c r="AL40" s="26"/>
      <c r="AM40" s="26">
        <v>0</v>
      </c>
      <c r="AN40" s="26"/>
      <c r="AO40" s="26">
        <v>0</v>
      </c>
      <c r="AP40" s="26">
        <v>0</v>
      </c>
      <c r="AQ40" s="26">
        <v>0</v>
      </c>
      <c r="AR40" s="26"/>
      <c r="AS40" s="26">
        <v>565000</v>
      </c>
      <c r="AT40" s="30">
        <f t="shared" si="2"/>
        <v>565000</v>
      </c>
      <c r="AU40" s="23">
        <f t="shared" si="3"/>
        <v>0.2011231335163611</v>
      </c>
      <c r="AV40" s="2" t="s">
        <v>68</v>
      </c>
    </row>
    <row r="41" spans="1:48" x14ac:dyDescent="0.2">
      <c r="A41" s="2" t="s">
        <v>63</v>
      </c>
      <c r="B41" s="26">
        <v>0</v>
      </c>
      <c r="C41" s="26">
        <v>0</v>
      </c>
      <c r="D41" s="26"/>
      <c r="E41" s="26">
        <v>0</v>
      </c>
      <c r="F41" s="26">
        <v>0</v>
      </c>
      <c r="G41" s="26">
        <v>0</v>
      </c>
      <c r="H41" s="26"/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/>
      <c r="O41" s="26"/>
      <c r="P41" s="26"/>
      <c r="Q41" s="26"/>
      <c r="R41" s="26">
        <v>0</v>
      </c>
      <c r="S41" s="26">
        <v>0</v>
      </c>
      <c r="T41" s="26">
        <v>0</v>
      </c>
      <c r="U41" s="26"/>
      <c r="V41" s="26">
        <v>0</v>
      </c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>
        <v>0</v>
      </c>
      <c r="AI41" s="26">
        <v>0</v>
      </c>
      <c r="AJ41" s="26"/>
      <c r="AK41" s="26"/>
      <c r="AL41" s="26"/>
      <c r="AM41" s="26"/>
      <c r="AN41" s="26"/>
      <c r="AO41" s="26">
        <v>0</v>
      </c>
      <c r="AP41" s="26">
        <v>0</v>
      </c>
      <c r="AQ41" s="26">
        <v>0</v>
      </c>
      <c r="AR41" s="26"/>
      <c r="AS41" s="26">
        <v>198</v>
      </c>
      <c r="AT41" s="30">
        <f t="shared" si="2"/>
        <v>198</v>
      </c>
      <c r="AU41" s="23">
        <f t="shared" si="3"/>
        <v>7.0482089267680535E-5</v>
      </c>
    </row>
    <row r="42" spans="1:48" x14ac:dyDescent="0.2">
      <c r="A42" s="2" t="s">
        <v>81</v>
      </c>
      <c r="B42" s="26">
        <v>0</v>
      </c>
      <c r="C42" s="26">
        <v>0</v>
      </c>
      <c r="D42" s="26"/>
      <c r="E42" s="26">
        <v>0</v>
      </c>
      <c r="F42" s="26">
        <v>0</v>
      </c>
      <c r="G42" s="26">
        <v>0</v>
      </c>
      <c r="H42" s="26"/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/>
      <c r="O42" s="26"/>
      <c r="P42" s="26"/>
      <c r="Q42" s="26"/>
      <c r="R42" s="26">
        <v>0</v>
      </c>
      <c r="S42" s="26">
        <v>0</v>
      </c>
      <c r="T42" s="26">
        <v>0</v>
      </c>
      <c r="U42" s="26"/>
      <c r="V42" s="26">
        <v>0</v>
      </c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>
        <v>0</v>
      </c>
      <c r="AI42" s="26">
        <v>0</v>
      </c>
      <c r="AJ42" s="26"/>
      <c r="AK42" s="26"/>
      <c r="AL42" s="26"/>
      <c r="AM42" s="26"/>
      <c r="AN42" s="26"/>
      <c r="AO42" s="26">
        <v>0</v>
      </c>
      <c r="AP42" s="26">
        <v>0</v>
      </c>
      <c r="AQ42" s="26">
        <v>0</v>
      </c>
      <c r="AR42" s="26"/>
      <c r="AS42" s="26">
        <v>0</v>
      </c>
      <c r="AT42" s="30">
        <f t="shared" si="2"/>
        <v>0</v>
      </c>
      <c r="AU42" s="23">
        <f t="shared" si="3"/>
        <v>0</v>
      </c>
    </row>
    <row r="43" spans="1:48" x14ac:dyDescent="0.2">
      <c r="A43" s="2" t="s">
        <v>64</v>
      </c>
      <c r="B43" s="26">
        <v>0</v>
      </c>
      <c r="C43" s="26">
        <v>0</v>
      </c>
      <c r="D43" s="26"/>
      <c r="E43" s="26">
        <v>0</v>
      </c>
      <c r="F43" s="26">
        <v>0</v>
      </c>
      <c r="G43" s="26">
        <v>0</v>
      </c>
      <c r="H43" s="26"/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/>
      <c r="O43" s="26"/>
      <c r="P43" s="26"/>
      <c r="Q43" s="26"/>
      <c r="R43" s="26">
        <v>0</v>
      </c>
      <c r="S43" s="26">
        <v>0</v>
      </c>
      <c r="T43" s="26">
        <v>0</v>
      </c>
      <c r="U43" s="26"/>
      <c r="V43" s="26">
        <v>0</v>
      </c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>
        <v>0</v>
      </c>
      <c r="AI43" s="26">
        <v>0</v>
      </c>
      <c r="AJ43" s="26"/>
      <c r="AK43" s="26"/>
      <c r="AL43" s="26"/>
      <c r="AM43" s="26"/>
      <c r="AN43" s="26"/>
      <c r="AO43" s="26">
        <v>0</v>
      </c>
      <c r="AP43" s="26">
        <v>0</v>
      </c>
      <c r="AQ43" s="26">
        <v>0</v>
      </c>
      <c r="AR43" s="26"/>
      <c r="AS43" s="26">
        <v>85218.07</v>
      </c>
      <c r="AT43" s="30">
        <f t="shared" si="2"/>
        <v>85218.07</v>
      </c>
      <c r="AU43" s="23">
        <f t="shared" si="3"/>
        <v>3.0335088974542668E-2</v>
      </c>
    </row>
    <row r="44" spans="1:48" x14ac:dyDescent="0.2">
      <c r="A44" s="2" t="s">
        <v>66</v>
      </c>
      <c r="B44" s="26">
        <v>0</v>
      </c>
      <c r="C44" s="26">
        <v>0</v>
      </c>
      <c r="D44" s="26"/>
      <c r="E44" s="26">
        <v>0</v>
      </c>
      <c r="F44" s="26">
        <v>0</v>
      </c>
      <c r="G44" s="26">
        <v>0</v>
      </c>
      <c r="H44" s="26"/>
      <c r="I44" s="26">
        <v>449</v>
      </c>
      <c r="J44" s="26">
        <v>0</v>
      </c>
      <c r="K44" s="26">
        <v>0</v>
      </c>
      <c r="L44" s="26">
        <v>0</v>
      </c>
      <c r="M44" s="26">
        <v>0</v>
      </c>
      <c r="N44" s="26"/>
      <c r="O44" s="26"/>
      <c r="P44" s="26"/>
      <c r="Q44" s="26"/>
      <c r="R44" s="26">
        <v>0</v>
      </c>
      <c r="S44" s="26">
        <v>0</v>
      </c>
      <c r="T44" s="26">
        <v>0</v>
      </c>
      <c r="U44" s="26"/>
      <c r="V44" s="26">
        <v>300</v>
      </c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>
        <v>300</v>
      </c>
      <c r="AI44" s="26">
        <v>0</v>
      </c>
      <c r="AJ44" s="26"/>
      <c r="AK44" s="26"/>
      <c r="AL44" s="26"/>
      <c r="AM44" s="26"/>
      <c r="AN44" s="26"/>
      <c r="AO44" s="26">
        <v>0</v>
      </c>
      <c r="AP44" s="26">
        <v>370</v>
      </c>
      <c r="AQ44" s="26">
        <v>0</v>
      </c>
      <c r="AR44" s="26"/>
      <c r="AS44" s="26">
        <v>4199.2</v>
      </c>
      <c r="AT44" s="30">
        <f t="shared" si="2"/>
        <v>5618.2</v>
      </c>
      <c r="AU44" s="23">
        <f t="shared" si="3"/>
        <v>1.999911484463044E-3</v>
      </c>
    </row>
    <row r="45" spans="1:48" ht="12.75" thickBot="1" x14ac:dyDescent="0.25">
      <c r="A45" s="14" t="s">
        <v>67</v>
      </c>
      <c r="B45" s="27">
        <f>SUM(B15:B44)</f>
        <v>167109.50999999978</v>
      </c>
      <c r="C45" s="27">
        <f t="shared" ref="C45:AS45" si="4">SUM(C15:C44)</f>
        <v>2389.1099999999997</v>
      </c>
      <c r="D45" s="27">
        <f t="shared" si="4"/>
        <v>37001.410000000003</v>
      </c>
      <c r="E45" s="27">
        <f t="shared" si="4"/>
        <v>68481.150000000023</v>
      </c>
      <c r="F45" s="27">
        <f t="shared" si="4"/>
        <v>149846.36999999994</v>
      </c>
      <c r="G45" s="27">
        <f t="shared" si="4"/>
        <v>41269.400000000016</v>
      </c>
      <c r="H45" s="27">
        <f t="shared" si="4"/>
        <v>0</v>
      </c>
      <c r="I45" s="27">
        <f t="shared" si="4"/>
        <v>252425.6100000001</v>
      </c>
      <c r="J45" s="27">
        <f t="shared" si="4"/>
        <v>103767.37000000005</v>
      </c>
      <c r="K45" s="27">
        <f t="shared" si="4"/>
        <v>12155.350000000002</v>
      </c>
      <c r="L45" s="27">
        <f t="shared" si="4"/>
        <v>62337.419999999984</v>
      </c>
      <c r="M45" s="27">
        <f t="shared" si="4"/>
        <v>33710.71</v>
      </c>
      <c r="N45" s="27">
        <f t="shared" si="4"/>
        <v>0</v>
      </c>
      <c r="O45" s="27">
        <f t="shared" si="4"/>
        <v>0</v>
      </c>
      <c r="P45" s="27">
        <f t="shared" si="4"/>
        <v>0</v>
      </c>
      <c r="Q45" s="27">
        <f t="shared" si="4"/>
        <v>0</v>
      </c>
      <c r="R45" s="27">
        <f t="shared" si="4"/>
        <v>43715.289999999994</v>
      </c>
      <c r="S45" s="27">
        <f t="shared" si="4"/>
        <v>41529.63999999997</v>
      </c>
      <c r="T45" s="27">
        <f t="shared" si="4"/>
        <v>31449.32</v>
      </c>
      <c r="U45" s="27">
        <f t="shared" si="4"/>
        <v>0</v>
      </c>
      <c r="V45" s="27">
        <f t="shared" si="4"/>
        <v>38552.1</v>
      </c>
      <c r="W45" s="27">
        <f t="shared" si="4"/>
        <v>0</v>
      </c>
      <c r="X45" s="27">
        <f t="shared" si="4"/>
        <v>0</v>
      </c>
      <c r="Y45" s="27">
        <f t="shared" si="4"/>
        <v>0</v>
      </c>
      <c r="Z45" s="27">
        <f t="shared" si="4"/>
        <v>21933.060000000005</v>
      </c>
      <c r="AA45" s="27">
        <f t="shared" si="4"/>
        <v>26515.489999999998</v>
      </c>
      <c r="AB45" s="27">
        <f t="shared" si="4"/>
        <v>0</v>
      </c>
      <c r="AC45" s="27">
        <f t="shared" si="4"/>
        <v>49542.83</v>
      </c>
      <c r="AD45" s="27">
        <f t="shared" si="4"/>
        <v>20338.409999999993</v>
      </c>
      <c r="AE45" s="27">
        <f t="shared" si="4"/>
        <v>12438.079999999998</v>
      </c>
      <c r="AF45" s="27">
        <f t="shared" si="4"/>
        <v>60157.280000000006</v>
      </c>
      <c r="AG45" s="27">
        <f t="shared" si="4"/>
        <v>0</v>
      </c>
      <c r="AH45" s="27">
        <f t="shared" si="4"/>
        <v>197162.71000000002</v>
      </c>
      <c r="AI45" s="27">
        <f t="shared" si="4"/>
        <v>15468.93999999999</v>
      </c>
      <c r="AJ45" s="27">
        <f t="shared" si="4"/>
        <v>0</v>
      </c>
      <c r="AK45" s="27">
        <f t="shared" si="4"/>
        <v>38313.949999999997</v>
      </c>
      <c r="AL45" s="27">
        <f>SUM(AL15:AL44)</f>
        <v>0</v>
      </c>
      <c r="AM45" s="27">
        <f>SUM(AM15:AM44)</f>
        <v>23029.81</v>
      </c>
      <c r="AN45" s="27">
        <f t="shared" ref="AN45:AR45" si="5">SUM(AN15:AN44)</f>
        <v>0</v>
      </c>
      <c r="AO45" s="27">
        <f t="shared" si="5"/>
        <v>12187.02</v>
      </c>
      <c r="AP45" s="27">
        <f t="shared" si="5"/>
        <v>109206.63000000011</v>
      </c>
      <c r="AQ45" s="27">
        <f t="shared" si="5"/>
        <v>13914.130000000001</v>
      </c>
      <c r="AR45" s="27">
        <f t="shared" si="5"/>
        <v>0</v>
      </c>
      <c r="AS45" s="27">
        <f t="shared" si="4"/>
        <v>1123276.23</v>
      </c>
      <c r="AT45" s="27">
        <f>SUM(AT15:AT44)</f>
        <v>2809224.3299999996</v>
      </c>
      <c r="AU45" s="10">
        <f>SUM(AU15:AU44)</f>
        <v>0.99999999999999978</v>
      </c>
      <c r="AV45" s="53"/>
    </row>
    <row r="46" spans="1:48" ht="12.75" thickTop="1" x14ac:dyDescent="0.2">
      <c r="D46" s="2" t="s">
        <v>68</v>
      </c>
      <c r="E46" s="2" t="s">
        <v>68</v>
      </c>
      <c r="F46" s="2" t="s">
        <v>68</v>
      </c>
      <c r="G46" s="2" t="s">
        <v>68</v>
      </c>
      <c r="H46" s="2" t="s">
        <v>68</v>
      </c>
      <c r="I46" s="2" t="s">
        <v>68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68</v>
      </c>
      <c r="Q46" s="2" t="s">
        <v>68</v>
      </c>
      <c r="R46" s="2" t="s">
        <v>68</v>
      </c>
      <c r="S46" s="2" t="s">
        <v>68</v>
      </c>
      <c r="AT46" s="29" t="s">
        <v>68</v>
      </c>
    </row>
    <row r="47" spans="1:48" ht="12.75" thickBot="1" x14ac:dyDescent="0.25">
      <c r="A47" s="14" t="s">
        <v>69</v>
      </c>
      <c r="B47" s="14">
        <f>+B13-B45</f>
        <v>145890.49000000022</v>
      </c>
      <c r="C47" s="14">
        <f t="shared" ref="C47:Z47" si="6">+C13-C45</f>
        <v>103110.89</v>
      </c>
      <c r="D47" s="14">
        <f t="shared" si="6"/>
        <v>19748.589999999997</v>
      </c>
      <c r="E47" s="14">
        <f t="shared" si="6"/>
        <v>39168.849999999977</v>
      </c>
      <c r="F47" s="14">
        <f t="shared" si="6"/>
        <v>123053.63000000006</v>
      </c>
      <c r="G47" s="14">
        <f>+G13-G45</f>
        <v>17480.599999999984</v>
      </c>
      <c r="H47" s="14">
        <f t="shared" si="6"/>
        <v>0</v>
      </c>
      <c r="I47" s="14">
        <f t="shared" si="6"/>
        <v>212474.3899999999</v>
      </c>
      <c r="J47" s="14">
        <f t="shared" si="6"/>
        <v>83023.819999999891</v>
      </c>
      <c r="K47" s="14">
        <f t="shared" si="6"/>
        <v>6844.6499999999978</v>
      </c>
      <c r="L47" s="14">
        <f t="shared" si="6"/>
        <v>25962.580000000016</v>
      </c>
      <c r="M47" s="14">
        <f t="shared" si="6"/>
        <v>41489.29</v>
      </c>
      <c r="N47" s="14">
        <f t="shared" si="6"/>
        <v>0</v>
      </c>
      <c r="O47" s="14">
        <f t="shared" si="6"/>
        <v>0</v>
      </c>
      <c r="P47" s="14">
        <f t="shared" si="6"/>
        <v>0</v>
      </c>
      <c r="Q47" s="14">
        <f t="shared" si="6"/>
        <v>0</v>
      </c>
      <c r="R47" s="14">
        <f t="shared" si="6"/>
        <v>54034.710000000006</v>
      </c>
      <c r="S47" s="14">
        <f t="shared" si="6"/>
        <v>56720.36000000003</v>
      </c>
      <c r="T47" s="14">
        <f t="shared" si="6"/>
        <v>24300.68</v>
      </c>
      <c r="U47" s="14">
        <f t="shared" si="6"/>
        <v>0</v>
      </c>
      <c r="V47" s="14">
        <f t="shared" si="6"/>
        <v>15447.900000000001</v>
      </c>
      <c r="W47" s="14">
        <f t="shared" si="6"/>
        <v>0</v>
      </c>
      <c r="X47" s="14">
        <f t="shared" si="6"/>
        <v>0</v>
      </c>
      <c r="Y47" s="14">
        <f>+Y13-Y45</f>
        <v>0</v>
      </c>
      <c r="Z47" s="14">
        <f t="shared" si="6"/>
        <v>14066.939999999995</v>
      </c>
      <c r="AA47" s="14">
        <f>+AA13-AA45</f>
        <v>11484.510000000002</v>
      </c>
      <c r="AB47" s="14">
        <f>+AB13-AB45</f>
        <v>0</v>
      </c>
      <c r="AC47" s="14">
        <f>+AC13-AC45</f>
        <v>36957.17</v>
      </c>
      <c r="AD47" s="14">
        <f>+AD13-AD45</f>
        <v>17661.590000000007</v>
      </c>
      <c r="AE47" s="14">
        <f t="shared" ref="AE47:AJ47" si="7">+AE13-AE45</f>
        <v>7061.9200000000019</v>
      </c>
      <c r="AF47" s="14">
        <f t="shared" si="7"/>
        <v>24342.719999999994</v>
      </c>
      <c r="AG47" s="14">
        <f t="shared" si="7"/>
        <v>0</v>
      </c>
      <c r="AH47" s="14">
        <f t="shared" si="7"/>
        <v>74337.289999999979</v>
      </c>
      <c r="AI47" s="14">
        <f t="shared" si="7"/>
        <v>40281.060000000012</v>
      </c>
      <c r="AJ47" s="14">
        <f t="shared" si="7"/>
        <v>0</v>
      </c>
      <c r="AK47" s="14">
        <f>+AK13-AK45</f>
        <v>18886.050000000003</v>
      </c>
      <c r="AL47" s="14">
        <f>+AL13-AL45</f>
        <v>0</v>
      </c>
      <c r="AM47" s="14">
        <f>+AM13-AM45</f>
        <v>17970.189999999999</v>
      </c>
      <c r="AN47" s="14">
        <f t="shared" ref="AN47:AS47" si="8">+AN13-AN45</f>
        <v>22800.06</v>
      </c>
      <c r="AO47" s="14">
        <f t="shared" si="8"/>
        <v>6312.98</v>
      </c>
      <c r="AP47" s="14">
        <f t="shared" si="8"/>
        <v>122793.36999999989</v>
      </c>
      <c r="AQ47" s="14">
        <f t="shared" si="8"/>
        <v>4785.869999999999</v>
      </c>
      <c r="AR47" s="14">
        <f t="shared" si="8"/>
        <v>0</v>
      </c>
      <c r="AS47" s="14">
        <f t="shared" si="8"/>
        <v>-1123276.23</v>
      </c>
      <c r="AT47" s="14">
        <f>SUM(B47:AS47)</f>
        <v>265216.92000000016</v>
      </c>
      <c r="AU47" s="39"/>
    </row>
    <row r="48" spans="1:48" ht="12.75" thickTop="1" x14ac:dyDescent="0.2"/>
    <row r="49" spans="1:48" x14ac:dyDescent="0.2">
      <c r="A49" s="2" t="s">
        <v>70</v>
      </c>
      <c r="B49" s="2">
        <f>40475+20400</f>
        <v>60875</v>
      </c>
      <c r="C49" s="2">
        <f>10000+14700</f>
        <v>24700</v>
      </c>
      <c r="D49" s="2">
        <f>7130+300</f>
        <v>7430</v>
      </c>
      <c r="E49" s="2">
        <f>3850+300</f>
        <v>4150</v>
      </c>
      <c r="F49" s="2">
        <f>39595+17100</f>
        <v>56695</v>
      </c>
      <c r="G49" s="2">
        <v>1550</v>
      </c>
      <c r="I49" s="2">
        <f>78785+9900</f>
        <v>88685</v>
      </c>
      <c r="J49" s="2">
        <f>19167.07+23400</f>
        <v>42567.07</v>
      </c>
      <c r="L49" s="2">
        <f>10500+1500</f>
        <v>12000</v>
      </c>
      <c r="M49" s="2">
        <f>9400+3600</f>
        <v>13000</v>
      </c>
      <c r="R49" s="2">
        <f>13003.32+6600</f>
        <v>19603.32</v>
      </c>
      <c r="S49" s="2">
        <f>13550+12300</f>
        <v>25850</v>
      </c>
      <c r="T49" s="2">
        <f>10130+2100</f>
        <v>12230</v>
      </c>
      <c r="Z49" s="2">
        <v>2100</v>
      </c>
      <c r="AA49" s="2">
        <f>5250+1800</f>
        <v>7050</v>
      </c>
      <c r="AC49" s="2">
        <f>8680+5400</f>
        <v>14080</v>
      </c>
      <c r="AD49" s="2">
        <v>5750</v>
      </c>
      <c r="AF49" s="2">
        <f>13945+10800</f>
        <v>24745</v>
      </c>
      <c r="AH49" s="2">
        <f>37935+2700</f>
        <v>40635</v>
      </c>
      <c r="AI49" s="2">
        <f>7200+300+6900</f>
        <v>14400</v>
      </c>
      <c r="AK49" s="2">
        <f>5916.66+4200</f>
        <v>10116.66</v>
      </c>
      <c r="AM49" s="2">
        <f>3900+1500</f>
        <v>5400</v>
      </c>
      <c r="AN49" s="2">
        <v>10500</v>
      </c>
      <c r="AO49" s="2">
        <v>1450</v>
      </c>
      <c r="AP49" s="2">
        <f>29833.32+25800</f>
        <v>55633.32</v>
      </c>
      <c r="AQ49" s="2">
        <f>1950+300</f>
        <v>2250</v>
      </c>
      <c r="AR49" s="2">
        <v>300</v>
      </c>
      <c r="AS49" s="2">
        <v>14200</v>
      </c>
      <c r="AT49" s="29">
        <f>SUM(B49:AS49)</f>
        <v>577945.37</v>
      </c>
      <c r="AU49" s="2"/>
    </row>
    <row r="50" spans="1:48" s="25" customFormat="1" x14ac:dyDescent="0.2">
      <c r="A50" s="37" t="s">
        <v>71</v>
      </c>
      <c r="B50" s="37">
        <f>+B47-B49</f>
        <v>85015.490000000224</v>
      </c>
      <c r="C50" s="37">
        <f t="shared" ref="C50:AS50" si="9">+C47-C49</f>
        <v>78410.89</v>
      </c>
      <c r="D50" s="37">
        <f t="shared" si="9"/>
        <v>12318.589999999997</v>
      </c>
      <c r="E50" s="37">
        <f t="shared" si="9"/>
        <v>35018.849999999977</v>
      </c>
      <c r="F50" s="37">
        <f t="shared" si="9"/>
        <v>66358.630000000063</v>
      </c>
      <c r="G50" s="37">
        <f t="shared" si="9"/>
        <v>15930.599999999984</v>
      </c>
      <c r="H50" s="37">
        <f t="shared" si="9"/>
        <v>0</v>
      </c>
      <c r="I50" s="37">
        <f t="shared" si="9"/>
        <v>123789.3899999999</v>
      </c>
      <c r="J50" s="37">
        <f t="shared" si="9"/>
        <v>40456.749999999891</v>
      </c>
      <c r="K50" s="37">
        <f t="shared" si="9"/>
        <v>6844.6499999999978</v>
      </c>
      <c r="L50" s="37">
        <f t="shared" si="9"/>
        <v>13962.580000000016</v>
      </c>
      <c r="M50" s="37">
        <f t="shared" si="9"/>
        <v>28489.29</v>
      </c>
      <c r="N50" s="37">
        <f t="shared" si="9"/>
        <v>0</v>
      </c>
      <c r="O50" s="37">
        <f t="shared" si="9"/>
        <v>0</v>
      </c>
      <c r="P50" s="37">
        <f t="shared" si="9"/>
        <v>0</v>
      </c>
      <c r="Q50" s="37">
        <f t="shared" si="9"/>
        <v>0</v>
      </c>
      <c r="R50" s="37">
        <f t="shared" si="9"/>
        <v>34431.390000000007</v>
      </c>
      <c r="S50" s="37">
        <f t="shared" si="9"/>
        <v>30870.36000000003</v>
      </c>
      <c r="T50" s="37">
        <f t="shared" si="9"/>
        <v>12070.68</v>
      </c>
      <c r="U50" s="37">
        <f t="shared" si="9"/>
        <v>0</v>
      </c>
      <c r="V50" s="37">
        <f t="shared" si="9"/>
        <v>15447.900000000001</v>
      </c>
      <c r="W50" s="37">
        <f t="shared" si="9"/>
        <v>0</v>
      </c>
      <c r="X50" s="37">
        <f t="shared" si="9"/>
        <v>0</v>
      </c>
      <c r="Y50" s="37">
        <f t="shared" si="9"/>
        <v>0</v>
      </c>
      <c r="Z50" s="37">
        <f t="shared" si="9"/>
        <v>11966.939999999995</v>
      </c>
      <c r="AA50" s="37">
        <f t="shared" si="9"/>
        <v>4434.510000000002</v>
      </c>
      <c r="AB50" s="37">
        <f t="shared" si="9"/>
        <v>0</v>
      </c>
      <c r="AC50" s="37">
        <f t="shared" si="9"/>
        <v>22877.17</v>
      </c>
      <c r="AD50" s="37">
        <f t="shared" si="9"/>
        <v>11911.590000000007</v>
      </c>
      <c r="AE50" s="37">
        <f t="shared" si="9"/>
        <v>7061.9200000000019</v>
      </c>
      <c r="AF50" s="37">
        <f t="shared" si="9"/>
        <v>-402.28000000000611</v>
      </c>
      <c r="AG50" s="37">
        <f t="shared" si="9"/>
        <v>0</v>
      </c>
      <c r="AH50" s="37">
        <f t="shared" si="9"/>
        <v>33702.289999999979</v>
      </c>
      <c r="AI50" s="37">
        <f t="shared" si="9"/>
        <v>25881.060000000012</v>
      </c>
      <c r="AJ50" s="37">
        <f t="shared" si="9"/>
        <v>0</v>
      </c>
      <c r="AK50" s="37">
        <f t="shared" si="9"/>
        <v>8769.3900000000031</v>
      </c>
      <c r="AL50" s="37">
        <f t="shared" si="9"/>
        <v>0</v>
      </c>
      <c r="AM50" s="37">
        <f t="shared" si="9"/>
        <v>12570.189999999999</v>
      </c>
      <c r="AN50" s="37">
        <f t="shared" si="9"/>
        <v>12300.060000000001</v>
      </c>
      <c r="AO50" s="37">
        <f t="shared" si="9"/>
        <v>4862.9799999999996</v>
      </c>
      <c r="AP50" s="37">
        <f t="shared" si="9"/>
        <v>67160.049999999901</v>
      </c>
      <c r="AQ50" s="37">
        <f t="shared" si="9"/>
        <v>2535.869999999999</v>
      </c>
      <c r="AR50" s="37">
        <f t="shared" si="9"/>
        <v>-300</v>
      </c>
      <c r="AS50" s="37">
        <f t="shared" si="9"/>
        <v>-1137476.23</v>
      </c>
      <c r="AT50" s="38">
        <f>SUM(B50:AS50)-AT53-AT54-AT55+AT56</f>
        <v>80139.32405000017</v>
      </c>
      <c r="AU50" s="40"/>
    </row>
    <row r="51" spans="1:48" x14ac:dyDescent="0.2">
      <c r="AT51" s="18">
        <v>80139.33</v>
      </c>
      <c r="AU51" s="28" t="s">
        <v>72</v>
      </c>
      <c r="AV51" s="2" t="s">
        <v>108</v>
      </c>
    </row>
    <row r="52" spans="1:48" x14ac:dyDescent="0.2">
      <c r="AT52" s="47">
        <f>+AT50-AT51</f>
        <v>-5.9499998315004632E-3</v>
      </c>
      <c r="AU52" s="48" t="s">
        <v>82</v>
      </c>
    </row>
    <row r="53" spans="1:48" x14ac:dyDescent="0.2">
      <c r="A53" s="45" t="s">
        <v>78</v>
      </c>
      <c r="B53" s="45"/>
      <c r="C53" s="45"/>
      <c r="D53" s="45"/>
      <c r="E53" s="45">
        <f>+E50*8.5%</f>
        <v>2976.6022499999981</v>
      </c>
      <c r="F53" s="45"/>
      <c r="G53" s="45">
        <f>+G50*8.5%</f>
        <v>1354.1009999999987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>
        <f>+V50*8.5%</f>
        <v>1313.0715000000002</v>
      </c>
      <c r="W53" s="45">
        <f>+W50*8.5%</f>
        <v>0</v>
      </c>
      <c r="X53" s="45"/>
      <c r="Y53" s="45">
        <f>+Y50*8.5%</f>
        <v>0</v>
      </c>
      <c r="Z53" s="45">
        <f>+Z50*8.5%</f>
        <v>1017.1898999999996</v>
      </c>
      <c r="AA53" s="45">
        <f>+AA50*8.5%</f>
        <v>376.93335000000019</v>
      </c>
      <c r="AB53" s="45"/>
      <c r="AC53" s="45">
        <f>(AC50-AC54)*8.5%</f>
        <v>1732.05945</v>
      </c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6">
        <f>SUM(B53:AS53)</f>
        <v>8769.9574499999962</v>
      </c>
    </row>
    <row r="54" spans="1:48" x14ac:dyDescent="0.2">
      <c r="A54" s="45" t="s">
        <v>84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>
        <v>2500</v>
      </c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>
        <v>19762.268500000006</v>
      </c>
      <c r="AT54" s="46">
        <f t="shared" ref="AT54:AT56" si="10">SUM(B54:AS54)</f>
        <v>22262.268500000006</v>
      </c>
    </row>
    <row r="55" spans="1:48" s="1" customFormat="1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50">
        <v>185000</v>
      </c>
      <c r="AT55" s="46">
        <f t="shared" si="10"/>
        <v>185000</v>
      </c>
    </row>
    <row r="56" spans="1:48" s="1" customFormat="1" x14ac:dyDescent="0.2">
      <c r="A56" s="49" t="s">
        <v>86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>
        <f>598900+10000</f>
        <v>608900</v>
      </c>
      <c r="AT56" s="46">
        <f t="shared" si="10"/>
        <v>608900</v>
      </c>
    </row>
    <row r="58" spans="1:48" s="1" customFormat="1" ht="12.75" x14ac:dyDescent="0.2">
      <c r="A58" s="57" t="s">
        <v>92</v>
      </c>
      <c r="B58" s="90">
        <v>15</v>
      </c>
      <c r="C58" s="90">
        <v>6</v>
      </c>
      <c r="D58" s="90">
        <v>3</v>
      </c>
      <c r="E58" s="90">
        <v>5</v>
      </c>
      <c r="F58" s="90">
        <v>14</v>
      </c>
      <c r="G58" s="90">
        <v>3</v>
      </c>
      <c r="H58" s="57"/>
      <c r="I58" s="90">
        <v>24</v>
      </c>
      <c r="J58" s="90">
        <v>11</v>
      </c>
      <c r="K58" s="90">
        <v>2</v>
      </c>
      <c r="L58" s="90">
        <v>5</v>
      </c>
      <c r="M58" s="90">
        <v>3</v>
      </c>
      <c r="N58" s="57"/>
      <c r="O58" s="57"/>
      <c r="P58" s="57"/>
      <c r="Q58" s="57"/>
      <c r="R58" s="90">
        <v>5</v>
      </c>
      <c r="S58" s="90">
        <v>4</v>
      </c>
      <c r="T58" s="90">
        <v>3</v>
      </c>
      <c r="U58" s="57"/>
      <c r="V58" s="57">
        <v>3</v>
      </c>
      <c r="W58" s="57"/>
      <c r="X58" s="57"/>
      <c r="Y58" s="57"/>
      <c r="Z58" s="57">
        <v>2</v>
      </c>
      <c r="AA58" s="57">
        <v>2</v>
      </c>
      <c r="AB58" s="57"/>
      <c r="AC58" s="57">
        <v>6</v>
      </c>
      <c r="AD58" s="57"/>
      <c r="AE58" s="57">
        <v>1</v>
      </c>
      <c r="AF58" s="57">
        <v>5</v>
      </c>
      <c r="AG58" s="57"/>
      <c r="AH58" s="57">
        <v>14</v>
      </c>
      <c r="AI58" s="57">
        <v>3</v>
      </c>
      <c r="AJ58" s="57"/>
      <c r="AK58" s="57">
        <v>3</v>
      </c>
      <c r="AL58" s="57"/>
      <c r="AM58" s="57">
        <v>3</v>
      </c>
      <c r="AN58" s="57">
        <v>2</v>
      </c>
      <c r="AO58" s="57">
        <v>1</v>
      </c>
      <c r="AP58" s="57">
        <v>12</v>
      </c>
      <c r="AQ58" s="61">
        <v>1</v>
      </c>
      <c r="AR58" s="65">
        <f>SUM(A58:AQ58)</f>
        <v>161</v>
      </c>
      <c r="AS58" s="66" t="s">
        <v>103</v>
      </c>
    </row>
    <row r="59" spans="1:48" s="1" customFormat="1" x14ac:dyDescent="0.2">
      <c r="A59" s="57" t="s">
        <v>91</v>
      </c>
      <c r="B59" s="58">
        <f>+B50/B58</f>
        <v>5667.6993333333485</v>
      </c>
      <c r="C59" s="58">
        <f t="shared" ref="C59:AQ59" si="11">+C50/C58</f>
        <v>13068.481666666667</v>
      </c>
      <c r="D59" s="58">
        <f t="shared" si="11"/>
        <v>4106.1966666666658</v>
      </c>
      <c r="E59" s="58">
        <f t="shared" si="11"/>
        <v>7003.769999999995</v>
      </c>
      <c r="F59" s="58">
        <f t="shared" si="11"/>
        <v>4739.9021428571477</v>
      </c>
      <c r="G59" s="58">
        <f t="shared" si="11"/>
        <v>5310.1999999999944</v>
      </c>
      <c r="H59" s="58"/>
      <c r="I59" s="58">
        <f t="shared" si="11"/>
        <v>5157.891249999996</v>
      </c>
      <c r="J59" s="58">
        <f t="shared" si="11"/>
        <v>3677.8863636363535</v>
      </c>
      <c r="K59" s="58">
        <f t="shared" si="11"/>
        <v>3422.3249999999989</v>
      </c>
      <c r="L59" s="58">
        <f t="shared" si="11"/>
        <v>2792.5160000000033</v>
      </c>
      <c r="M59" s="58">
        <f>(M50-M9)/M58</f>
        <v>2296.4300000000003</v>
      </c>
      <c r="N59" s="58" t="e">
        <f t="shared" si="11"/>
        <v>#DIV/0!</v>
      </c>
      <c r="O59" s="58"/>
      <c r="P59" s="58" t="e">
        <f t="shared" si="11"/>
        <v>#DIV/0!</v>
      </c>
      <c r="Q59" s="58" t="e">
        <f t="shared" si="11"/>
        <v>#DIV/0!</v>
      </c>
      <c r="R59" s="58">
        <f t="shared" si="11"/>
        <v>6886.2780000000012</v>
      </c>
      <c r="S59" s="58">
        <f t="shared" si="11"/>
        <v>7717.5900000000074</v>
      </c>
      <c r="T59" s="58">
        <f t="shared" si="11"/>
        <v>4023.56</v>
      </c>
      <c r="U59" s="58" t="e">
        <f t="shared" si="11"/>
        <v>#DIV/0!</v>
      </c>
      <c r="V59" s="58">
        <f t="shared" si="11"/>
        <v>5149.3</v>
      </c>
      <c r="W59" s="58" t="e">
        <f t="shared" si="11"/>
        <v>#DIV/0!</v>
      </c>
      <c r="X59" s="58"/>
      <c r="Y59" s="58"/>
      <c r="Z59" s="58">
        <f t="shared" si="11"/>
        <v>5983.4699999999975</v>
      </c>
      <c r="AA59" s="58">
        <f t="shared" si="11"/>
        <v>2217.255000000001</v>
      </c>
      <c r="AB59" s="58" t="e">
        <f t="shared" si="11"/>
        <v>#DIV/0!</v>
      </c>
      <c r="AC59" s="58">
        <f t="shared" si="11"/>
        <v>3812.8616666666662</v>
      </c>
      <c r="AD59" s="58" t="e">
        <f t="shared" si="11"/>
        <v>#DIV/0!</v>
      </c>
      <c r="AE59" s="58">
        <f t="shared" si="11"/>
        <v>7061.9200000000019</v>
      </c>
      <c r="AF59" s="58">
        <f t="shared" si="11"/>
        <v>-80.456000000001225</v>
      </c>
      <c r="AG59" s="58" t="e">
        <f t="shared" si="11"/>
        <v>#DIV/0!</v>
      </c>
      <c r="AH59" s="58">
        <f t="shared" si="11"/>
        <v>2407.3064285714272</v>
      </c>
      <c r="AI59" s="58">
        <f t="shared" si="11"/>
        <v>8627.0200000000041</v>
      </c>
      <c r="AJ59" s="58" t="e">
        <f t="shared" si="11"/>
        <v>#DIV/0!</v>
      </c>
      <c r="AK59" s="58">
        <f t="shared" si="11"/>
        <v>2923.130000000001</v>
      </c>
      <c r="AL59" s="58" t="e">
        <f t="shared" si="11"/>
        <v>#DIV/0!</v>
      </c>
      <c r="AM59" s="58">
        <f t="shared" si="11"/>
        <v>4190.0633333333326</v>
      </c>
      <c r="AN59" s="58">
        <f t="shared" si="11"/>
        <v>6150.0300000000007</v>
      </c>
      <c r="AO59" s="58">
        <f t="shared" si="11"/>
        <v>4862.9799999999996</v>
      </c>
      <c r="AP59" s="58">
        <f t="shared" si="11"/>
        <v>5596.6708333333254</v>
      </c>
      <c r="AQ59" s="58">
        <f t="shared" si="11"/>
        <v>2535.869999999999</v>
      </c>
    </row>
    <row r="60" spans="1:48" s="1" customFormat="1" x14ac:dyDescent="0.2">
      <c r="N60" s="3"/>
      <c r="O60" s="3"/>
      <c r="P60" s="3"/>
      <c r="Q60" s="3"/>
      <c r="R60" s="3"/>
      <c r="S60" s="3"/>
      <c r="T60" s="3"/>
      <c r="U60" s="3"/>
    </row>
    <row r="61" spans="1:48" s="1" customFormat="1" x14ac:dyDescent="0.2">
      <c r="N61" s="3"/>
      <c r="O61" s="3"/>
      <c r="P61" s="3"/>
      <c r="Q61" s="3"/>
      <c r="R61" s="3"/>
      <c r="S61" s="3"/>
      <c r="T61" s="3"/>
      <c r="U61" s="3"/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4799-8215-4A46-B669-61ECAD354F43}">
  <sheetPr>
    <tabColor rgb="FF7030A0"/>
  </sheetPr>
  <dimension ref="A2:AV61"/>
  <sheetViews>
    <sheetView tabSelected="1" workbookViewId="0">
      <pane xSplit="1" ySplit="7" topLeftCell="AM44" activePane="bottomRight" state="frozen"/>
      <selection activeCell="D53" sqref="D53"/>
      <selection pane="topRight" activeCell="D53" sqref="D53"/>
      <selection pane="bottomLeft" activeCell="D53" sqref="D53"/>
      <selection pane="bottomRight" activeCell="AT60" sqref="AT60"/>
    </sheetView>
  </sheetViews>
  <sheetFormatPr baseColWidth="10" defaultColWidth="11.42578125" defaultRowHeight="12" x14ac:dyDescent="0.2"/>
  <cols>
    <col min="1" max="1" width="20.85546875" style="2" customWidth="1"/>
    <col min="2" max="37" width="11.42578125" style="2"/>
    <col min="38" max="38" width="13.85546875" style="2" bestFit="1" customWidth="1"/>
    <col min="39" max="43" width="13.85546875" style="2" customWidth="1"/>
    <col min="44" max="45" width="11.42578125" style="2"/>
    <col min="46" max="46" width="11.42578125" style="29"/>
    <col min="47" max="47" width="11.42578125" style="23"/>
    <col min="48" max="16384" width="11.42578125" style="2"/>
  </cols>
  <sheetData>
    <row r="2" spans="1:48" x14ac:dyDescent="0.2">
      <c r="A2" s="2" t="s">
        <v>80</v>
      </c>
    </row>
    <row r="3" spans="1:48" x14ac:dyDescent="0.2">
      <c r="A3" s="2" t="s">
        <v>0</v>
      </c>
    </row>
    <row r="5" spans="1:48" s="42" customFormat="1" x14ac:dyDescent="0.2">
      <c r="AT5" s="43"/>
      <c r="AU5" s="44"/>
    </row>
    <row r="6" spans="1:48" ht="36" x14ac:dyDescent="0.2">
      <c r="A6" s="35" t="s">
        <v>1</v>
      </c>
      <c r="B6" s="35" t="s">
        <v>2</v>
      </c>
      <c r="C6" s="35" t="s">
        <v>3</v>
      </c>
      <c r="D6" s="35" t="s">
        <v>97</v>
      </c>
      <c r="E6" s="35" t="s">
        <v>4</v>
      </c>
      <c r="F6" s="35" t="s">
        <v>5</v>
      </c>
      <c r="G6" s="35" t="s">
        <v>6</v>
      </c>
      <c r="H6" s="74" t="s">
        <v>104</v>
      </c>
      <c r="I6" s="35" t="s">
        <v>74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14</v>
      </c>
      <c r="R6" s="35" t="s">
        <v>15</v>
      </c>
      <c r="S6" s="35" t="s">
        <v>16</v>
      </c>
      <c r="T6" s="35" t="s">
        <v>17</v>
      </c>
      <c r="U6" s="35" t="s">
        <v>18</v>
      </c>
      <c r="V6" s="36" t="s">
        <v>19</v>
      </c>
      <c r="W6" s="35" t="s">
        <v>20</v>
      </c>
      <c r="X6" s="36" t="s">
        <v>21</v>
      </c>
      <c r="Y6" s="36" t="s">
        <v>22</v>
      </c>
      <c r="Z6" s="36" t="s">
        <v>23</v>
      </c>
      <c r="AA6" s="36" t="s">
        <v>24</v>
      </c>
      <c r="AB6" s="36" t="s">
        <v>25</v>
      </c>
      <c r="AC6" s="35" t="s">
        <v>26</v>
      </c>
      <c r="AD6" s="36" t="s">
        <v>27</v>
      </c>
      <c r="AE6" s="36" t="s">
        <v>28</v>
      </c>
      <c r="AF6" s="36" t="s">
        <v>29</v>
      </c>
      <c r="AG6" s="54" t="s">
        <v>89</v>
      </c>
      <c r="AH6" s="35" t="s">
        <v>30</v>
      </c>
      <c r="AI6" s="36" t="s">
        <v>31</v>
      </c>
      <c r="AJ6" s="36" t="s">
        <v>32</v>
      </c>
      <c r="AK6" s="41" t="s">
        <v>75</v>
      </c>
      <c r="AL6" s="35" t="s">
        <v>76</v>
      </c>
      <c r="AM6" s="36" t="s">
        <v>83</v>
      </c>
      <c r="AN6" s="73" t="s">
        <v>107</v>
      </c>
      <c r="AO6" s="73" t="s">
        <v>99</v>
      </c>
      <c r="AP6" s="73" t="s">
        <v>100</v>
      </c>
      <c r="AQ6" s="73" t="s">
        <v>101</v>
      </c>
      <c r="AR6" s="36" t="s">
        <v>77</v>
      </c>
      <c r="AS6" s="36" t="s">
        <v>88</v>
      </c>
      <c r="AT6" s="35" t="s">
        <v>33</v>
      </c>
      <c r="AU6" s="22" t="s">
        <v>34</v>
      </c>
    </row>
    <row r="8" spans="1:48" x14ac:dyDescent="0.2">
      <c r="A8" s="2" t="s">
        <v>36</v>
      </c>
      <c r="B8" s="55">
        <v>313000</v>
      </c>
      <c r="C8" s="55">
        <v>105500</v>
      </c>
      <c r="D8" s="26">
        <v>56750</v>
      </c>
      <c r="E8" s="55">
        <v>107650</v>
      </c>
      <c r="F8" s="55">
        <v>272900</v>
      </c>
      <c r="G8" s="55">
        <v>58750</v>
      </c>
      <c r="H8" s="26"/>
      <c r="I8" s="55">
        <v>464900</v>
      </c>
      <c r="J8" s="55">
        <v>187756.90999999992</v>
      </c>
      <c r="K8" s="55">
        <v>19000</v>
      </c>
      <c r="L8" s="55">
        <v>88300</v>
      </c>
      <c r="M8" s="12">
        <v>53600</v>
      </c>
      <c r="N8" s="55"/>
      <c r="O8" s="55"/>
      <c r="P8" s="55"/>
      <c r="Q8" s="55"/>
      <c r="R8" s="55">
        <v>97750</v>
      </c>
      <c r="S8" s="55">
        <v>98250</v>
      </c>
      <c r="T8" s="55">
        <v>55750</v>
      </c>
      <c r="U8" s="55"/>
      <c r="V8" s="107">
        <v>54000</v>
      </c>
      <c r="W8" s="55"/>
      <c r="X8" s="55"/>
      <c r="Y8" s="55"/>
      <c r="Z8" s="55">
        <v>36000</v>
      </c>
      <c r="AA8" s="55">
        <v>38000</v>
      </c>
      <c r="AB8" s="55"/>
      <c r="AC8" s="55">
        <v>86500</v>
      </c>
      <c r="AD8" s="55">
        <v>38000</v>
      </c>
      <c r="AE8" s="55">
        <v>19500</v>
      </c>
      <c r="AF8" s="55">
        <v>84500</v>
      </c>
      <c r="AG8" s="55"/>
      <c r="AH8" s="55">
        <v>271500</v>
      </c>
      <c r="AI8" s="55">
        <v>55750</v>
      </c>
      <c r="AJ8" s="55"/>
      <c r="AK8" s="55">
        <v>57200</v>
      </c>
      <c r="AL8" s="55"/>
      <c r="AM8" s="55">
        <v>41000</v>
      </c>
      <c r="AN8" s="55">
        <v>38000</v>
      </c>
      <c r="AO8" s="55">
        <v>18500</v>
      </c>
      <c r="AP8" s="55">
        <v>231999.99999999977</v>
      </c>
      <c r="AQ8" s="55">
        <v>18700</v>
      </c>
      <c r="AR8" s="55">
        <v>2900</v>
      </c>
      <c r="AS8" s="55"/>
      <c r="AT8" s="29">
        <f>SUM(B8:AS8)</f>
        <v>3071906.91</v>
      </c>
      <c r="AU8" s="23">
        <f>+AT8/$AT$13</f>
        <v>0.99301763318188285</v>
      </c>
    </row>
    <row r="9" spans="1:48" x14ac:dyDescent="0.2">
      <c r="A9" s="2" t="s">
        <v>94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12">
        <v>21600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6">
        <f t="shared" ref="AT9:AT12" si="0">SUM(B9:AS9)</f>
        <v>21600</v>
      </c>
      <c r="AU9" s="23">
        <f>+AT9/$AT$13</f>
        <v>6.9823668181171116E-3</v>
      </c>
    </row>
    <row r="10" spans="1:48" x14ac:dyDescent="0.2"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6">
        <f t="shared" si="0"/>
        <v>0</v>
      </c>
      <c r="AU10" s="23">
        <f>+AT10/$AT$13</f>
        <v>0</v>
      </c>
    </row>
    <row r="11" spans="1:48" x14ac:dyDescent="0.2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6">
        <f t="shared" si="0"/>
        <v>0</v>
      </c>
      <c r="AU11" s="23">
        <f>+AT11/$AT$13</f>
        <v>0</v>
      </c>
    </row>
    <row r="12" spans="1:48" x14ac:dyDescent="0.2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6">
        <f t="shared" si="0"/>
        <v>0</v>
      </c>
      <c r="AU12" s="23">
        <f>+AT12/$AT$13</f>
        <v>0</v>
      </c>
    </row>
    <row r="13" spans="1:48" ht="12.75" thickBot="1" x14ac:dyDescent="0.25">
      <c r="A13" s="14" t="s">
        <v>37</v>
      </c>
      <c r="B13" s="59">
        <f>SUM(B8:B12)</f>
        <v>313000</v>
      </c>
      <c r="C13" s="59">
        <f t="shared" ref="C13:AS13" si="1">SUM(C8:C12)</f>
        <v>105500</v>
      </c>
      <c r="D13" s="59">
        <f t="shared" si="1"/>
        <v>56750</v>
      </c>
      <c r="E13" s="59">
        <f t="shared" si="1"/>
        <v>107650</v>
      </c>
      <c r="F13" s="59">
        <f t="shared" si="1"/>
        <v>272900</v>
      </c>
      <c r="G13" s="59">
        <f t="shared" si="1"/>
        <v>58750</v>
      </c>
      <c r="H13" s="59">
        <f t="shared" si="1"/>
        <v>0</v>
      </c>
      <c r="I13" s="59">
        <f t="shared" si="1"/>
        <v>464900</v>
      </c>
      <c r="J13" s="59">
        <f t="shared" si="1"/>
        <v>187756.90999999992</v>
      </c>
      <c r="K13" s="59">
        <f t="shared" si="1"/>
        <v>19000</v>
      </c>
      <c r="L13" s="59">
        <f t="shared" si="1"/>
        <v>88300</v>
      </c>
      <c r="M13" s="59">
        <f t="shared" si="1"/>
        <v>75200</v>
      </c>
      <c r="N13" s="59">
        <f t="shared" si="1"/>
        <v>0</v>
      </c>
      <c r="O13" s="59">
        <f t="shared" si="1"/>
        <v>0</v>
      </c>
      <c r="P13" s="59">
        <f t="shared" si="1"/>
        <v>0</v>
      </c>
      <c r="Q13" s="59">
        <f t="shared" si="1"/>
        <v>0</v>
      </c>
      <c r="R13" s="59">
        <f t="shared" si="1"/>
        <v>97750</v>
      </c>
      <c r="S13" s="59">
        <f t="shared" si="1"/>
        <v>98250</v>
      </c>
      <c r="T13" s="59">
        <f t="shared" si="1"/>
        <v>55750</v>
      </c>
      <c r="U13" s="59">
        <f t="shared" si="1"/>
        <v>0</v>
      </c>
      <c r="V13" s="59">
        <f t="shared" si="1"/>
        <v>54000</v>
      </c>
      <c r="W13" s="59">
        <f t="shared" si="1"/>
        <v>0</v>
      </c>
      <c r="X13" s="59">
        <f t="shared" si="1"/>
        <v>0</v>
      </c>
      <c r="Y13" s="59">
        <f t="shared" si="1"/>
        <v>0</v>
      </c>
      <c r="Z13" s="59">
        <f t="shared" si="1"/>
        <v>36000</v>
      </c>
      <c r="AA13" s="59">
        <f t="shared" si="1"/>
        <v>38000</v>
      </c>
      <c r="AB13" s="59">
        <f t="shared" si="1"/>
        <v>0</v>
      </c>
      <c r="AC13" s="59">
        <f t="shared" si="1"/>
        <v>86500</v>
      </c>
      <c r="AD13" s="59">
        <f t="shared" si="1"/>
        <v>38000</v>
      </c>
      <c r="AE13" s="59">
        <f t="shared" si="1"/>
        <v>19500</v>
      </c>
      <c r="AF13" s="59">
        <f t="shared" si="1"/>
        <v>84500</v>
      </c>
      <c r="AG13" s="59">
        <f t="shared" si="1"/>
        <v>0</v>
      </c>
      <c r="AH13" s="59">
        <f t="shared" si="1"/>
        <v>271500</v>
      </c>
      <c r="AI13" s="59">
        <f t="shared" si="1"/>
        <v>55750</v>
      </c>
      <c r="AJ13" s="59">
        <f t="shared" si="1"/>
        <v>0</v>
      </c>
      <c r="AK13" s="59">
        <f t="shared" si="1"/>
        <v>57200</v>
      </c>
      <c r="AL13" s="59">
        <f t="shared" si="1"/>
        <v>0</v>
      </c>
      <c r="AM13" s="59">
        <f t="shared" si="1"/>
        <v>41000</v>
      </c>
      <c r="AN13" s="59">
        <f t="shared" si="1"/>
        <v>38000</v>
      </c>
      <c r="AO13" s="59">
        <f t="shared" si="1"/>
        <v>18500</v>
      </c>
      <c r="AP13" s="59">
        <f t="shared" si="1"/>
        <v>231999.99999999977</v>
      </c>
      <c r="AQ13" s="59">
        <f t="shared" si="1"/>
        <v>18700</v>
      </c>
      <c r="AR13" s="59">
        <f t="shared" si="1"/>
        <v>2900</v>
      </c>
      <c r="AS13" s="59">
        <f t="shared" si="1"/>
        <v>0</v>
      </c>
      <c r="AT13" s="59">
        <f>SUM(AT8:AT12)</f>
        <v>3093506.91</v>
      </c>
      <c r="AU13" s="10">
        <f>SUM(AU8:AU12)</f>
        <v>1</v>
      </c>
    </row>
    <row r="14" spans="1:48" ht="12.75" thickTop="1" x14ac:dyDescent="0.2"/>
    <row r="15" spans="1:48" x14ac:dyDescent="0.2">
      <c r="A15" s="2" t="s">
        <v>39</v>
      </c>
      <c r="B15" s="26">
        <v>111372.85000000009</v>
      </c>
      <c r="C15" s="26">
        <v>0</v>
      </c>
      <c r="D15" s="26">
        <v>27512.880000000005</v>
      </c>
      <c r="E15" s="26">
        <v>45648.06</v>
      </c>
      <c r="F15" s="26">
        <v>114126.37</v>
      </c>
      <c r="G15" s="26">
        <v>28896.320000000007</v>
      </c>
      <c r="H15" s="26"/>
      <c r="I15" s="26">
        <v>165450.43999999994</v>
      </c>
      <c r="J15" s="26">
        <v>60253.479999999865</v>
      </c>
      <c r="K15" s="26">
        <v>8805</v>
      </c>
      <c r="L15" s="26">
        <v>35463.659999999974</v>
      </c>
      <c r="M15" s="26">
        <v>34648.19</v>
      </c>
      <c r="N15" s="26"/>
      <c r="O15" s="26"/>
      <c r="P15" s="26"/>
      <c r="Q15" s="26"/>
      <c r="R15" s="26">
        <v>34758.489999999932</v>
      </c>
      <c r="S15" s="26">
        <v>34541.19</v>
      </c>
      <c r="T15" s="26">
        <v>21759.5</v>
      </c>
      <c r="U15" s="26"/>
      <c r="V15" s="26">
        <v>25740.5</v>
      </c>
      <c r="W15" s="26"/>
      <c r="X15" s="26"/>
      <c r="Y15" s="26"/>
      <c r="Z15" s="26">
        <v>17698</v>
      </c>
      <c r="AA15" s="26">
        <v>19928.97</v>
      </c>
      <c r="AB15" s="26"/>
      <c r="AC15" s="26">
        <v>34985.440000000002</v>
      </c>
      <c r="AD15" s="26">
        <v>18218.179999999993</v>
      </c>
      <c r="AE15" s="26">
        <v>8805</v>
      </c>
      <c r="AF15" s="26">
        <v>26405.559999999998</v>
      </c>
      <c r="AG15" s="26"/>
      <c r="AH15" s="26">
        <v>130491.13</v>
      </c>
      <c r="AI15" s="26">
        <v>9628.429999999993</v>
      </c>
      <c r="AJ15" s="26"/>
      <c r="AK15" s="26">
        <v>20097.880000000005</v>
      </c>
      <c r="AL15" s="26"/>
      <c r="AM15" s="26">
        <v>14461</v>
      </c>
      <c r="AN15" s="26"/>
      <c r="AO15" s="26">
        <v>8805</v>
      </c>
      <c r="AP15" s="26">
        <v>65943.019999999902</v>
      </c>
      <c r="AQ15" s="26">
        <v>8805</v>
      </c>
      <c r="AR15" s="26"/>
      <c r="AS15" s="26">
        <v>296003.13</v>
      </c>
      <c r="AT15" s="60">
        <f t="shared" ref="AT15:AT44" si="2">SUM(B15:AS15)</f>
        <v>1429252.6699999995</v>
      </c>
      <c r="AU15" s="23">
        <f t="shared" ref="AU15:AU44" si="3">+AT15/$AT$45</f>
        <v>0.51891598915595571</v>
      </c>
      <c r="AV15" s="2" t="s">
        <v>68</v>
      </c>
    </row>
    <row r="16" spans="1:48" x14ac:dyDescent="0.2">
      <c r="A16" s="2" t="s">
        <v>40</v>
      </c>
      <c r="B16" s="26">
        <v>14868.690000000002</v>
      </c>
      <c r="C16" s="26">
        <v>0</v>
      </c>
      <c r="D16" s="26">
        <v>3242.5299999999988</v>
      </c>
      <c r="E16" s="26">
        <v>5490.3600000000006</v>
      </c>
      <c r="F16" s="26">
        <v>12897.059999999998</v>
      </c>
      <c r="G16" s="26">
        <v>3239.7900000000009</v>
      </c>
      <c r="H16" s="26"/>
      <c r="I16" s="26">
        <v>20768.28</v>
      </c>
      <c r="J16" s="26">
        <v>8328.9900000000052</v>
      </c>
      <c r="K16" s="26">
        <v>1075.4099999999999</v>
      </c>
      <c r="L16" s="26">
        <v>4283.9700000000012</v>
      </c>
      <c r="M16" s="26">
        <v>3021.8500000000022</v>
      </c>
      <c r="N16" s="26"/>
      <c r="O16" s="26"/>
      <c r="P16" s="26"/>
      <c r="Q16" s="26"/>
      <c r="R16" s="26">
        <v>4100.1999999999971</v>
      </c>
      <c r="S16" s="26">
        <v>4118.6100000000006</v>
      </c>
      <c r="T16" s="26">
        <v>2193.3899999999994</v>
      </c>
      <c r="U16" s="26"/>
      <c r="V16" s="26">
        <v>3277.2900000000009</v>
      </c>
      <c r="W16" s="26"/>
      <c r="X16" s="26"/>
      <c r="Y16" s="26"/>
      <c r="Z16" s="26">
        <v>2139.5700000000015</v>
      </c>
      <c r="AA16" s="26">
        <v>1192.130000000001</v>
      </c>
      <c r="AB16" s="26"/>
      <c r="AC16" s="26">
        <v>4316.9400000000023</v>
      </c>
      <c r="AD16" s="26">
        <v>2150.130000000001</v>
      </c>
      <c r="AE16" s="26">
        <v>1076.3700000000008</v>
      </c>
      <c r="AF16" s="26">
        <v>3236.7000000000044</v>
      </c>
      <c r="AG16" s="26"/>
      <c r="AH16" s="26">
        <v>15857.820000000007</v>
      </c>
      <c r="AI16" s="26">
        <v>1368.7200000000012</v>
      </c>
      <c r="AJ16" s="26"/>
      <c r="AK16" s="26">
        <v>2187.4399999999987</v>
      </c>
      <c r="AL16" s="26"/>
      <c r="AM16" s="26">
        <v>2218.4499999999971</v>
      </c>
      <c r="AN16" s="26"/>
      <c r="AO16" s="26">
        <v>1072.7900000000009</v>
      </c>
      <c r="AP16" s="26">
        <v>9378.1299999999901</v>
      </c>
      <c r="AQ16" s="26">
        <v>1078.6299999999992</v>
      </c>
      <c r="AR16" s="26"/>
      <c r="AS16" s="26">
        <v>67154.83</v>
      </c>
      <c r="AT16" s="60">
        <f t="shared" si="2"/>
        <v>205335.07000000007</v>
      </c>
      <c r="AU16" s="23">
        <f t="shared" si="3"/>
        <v>7.4550604797860895E-2</v>
      </c>
      <c r="AV16" s="2" t="s">
        <v>68</v>
      </c>
    </row>
    <row r="17" spans="1:48" x14ac:dyDescent="0.2">
      <c r="A17" s="2" t="s">
        <v>41</v>
      </c>
      <c r="B17" s="26">
        <v>9930.7799999999988</v>
      </c>
      <c r="C17" s="26">
        <v>0</v>
      </c>
      <c r="D17" s="26">
        <v>2276.3399999999983</v>
      </c>
      <c r="E17" s="26">
        <v>4794.260000000002</v>
      </c>
      <c r="F17" s="26">
        <v>8794.9499999999971</v>
      </c>
      <c r="G17" s="26">
        <v>2288.7999999999993</v>
      </c>
      <c r="H17" s="26"/>
      <c r="I17" s="26">
        <v>13000.630000000005</v>
      </c>
      <c r="J17" s="26">
        <v>5298.9599999999991</v>
      </c>
      <c r="K17" s="26">
        <v>758.82999999999993</v>
      </c>
      <c r="L17" s="26">
        <v>3194.5599999999977</v>
      </c>
      <c r="M17" s="26">
        <v>1594.6000000000022</v>
      </c>
      <c r="N17" s="26"/>
      <c r="O17" s="26"/>
      <c r="P17" s="26"/>
      <c r="Q17" s="26"/>
      <c r="R17" s="26">
        <v>2694.0699999999961</v>
      </c>
      <c r="S17" s="26">
        <v>1106.0700000000033</v>
      </c>
      <c r="T17" s="26">
        <v>1614.9600000000009</v>
      </c>
      <c r="U17" s="26"/>
      <c r="V17" s="26">
        <v>2352.1000000000022</v>
      </c>
      <c r="W17" s="26"/>
      <c r="X17" s="26"/>
      <c r="Y17" s="26"/>
      <c r="Z17" s="26">
        <v>1681.6900000000005</v>
      </c>
      <c r="AA17" s="26">
        <v>970.28999999999905</v>
      </c>
      <c r="AB17" s="26"/>
      <c r="AC17" s="26">
        <v>3067.9700000000012</v>
      </c>
      <c r="AD17" s="26">
        <v>1529.4699999999993</v>
      </c>
      <c r="AE17" s="26">
        <v>763.98999999999978</v>
      </c>
      <c r="AF17" s="26">
        <v>1754.5499999999993</v>
      </c>
      <c r="AG17" s="26"/>
      <c r="AH17" s="26">
        <v>12785.930000000008</v>
      </c>
      <c r="AI17" s="26">
        <v>308.60000000000036</v>
      </c>
      <c r="AJ17" s="26"/>
      <c r="AK17" s="26">
        <v>1109.7799999999988</v>
      </c>
      <c r="AL17" s="26"/>
      <c r="AM17" s="26">
        <v>1531.0300000000007</v>
      </c>
      <c r="AN17" s="26"/>
      <c r="AO17" s="26">
        <v>763.1299999999992</v>
      </c>
      <c r="AP17" s="26">
        <v>7920.5899999999965</v>
      </c>
      <c r="AQ17" s="26">
        <v>764.96</v>
      </c>
      <c r="AR17" s="26"/>
      <c r="AS17" s="26">
        <v>12819.12</v>
      </c>
      <c r="AT17" s="60">
        <f t="shared" si="2"/>
        <v>107471.01000000001</v>
      </c>
      <c r="AU17" s="23">
        <f t="shared" si="3"/>
        <v>3.901929073166583E-2</v>
      </c>
      <c r="AV17" s="2" t="s">
        <v>68</v>
      </c>
    </row>
    <row r="18" spans="1:48" x14ac:dyDescent="0.2">
      <c r="A18" s="2" t="s">
        <v>42</v>
      </c>
      <c r="B18" s="26">
        <v>5799.3600000000006</v>
      </c>
      <c r="C18" s="26">
        <v>0</v>
      </c>
      <c r="D18" s="26">
        <v>1349.83</v>
      </c>
      <c r="E18" s="26">
        <v>2842.91</v>
      </c>
      <c r="F18" s="26">
        <v>5073.9200000000055</v>
      </c>
      <c r="G18" s="26">
        <v>1357.2099999999991</v>
      </c>
      <c r="H18" s="26"/>
      <c r="I18" s="26">
        <v>8129.4600000000064</v>
      </c>
      <c r="J18" s="26">
        <v>2872.9800000000032</v>
      </c>
      <c r="K18" s="26">
        <v>449.98</v>
      </c>
      <c r="L18" s="26">
        <v>1701.0699999999997</v>
      </c>
      <c r="M18" s="26">
        <v>945.57999999999993</v>
      </c>
      <c r="N18" s="26"/>
      <c r="O18" s="26"/>
      <c r="P18" s="26"/>
      <c r="Q18" s="26"/>
      <c r="R18" s="26">
        <v>1569.0699999999997</v>
      </c>
      <c r="S18" s="26">
        <v>655.86999999999898</v>
      </c>
      <c r="T18" s="26">
        <v>957.65999999999985</v>
      </c>
      <c r="U18" s="26"/>
      <c r="V18" s="26">
        <v>1394.75</v>
      </c>
      <c r="W18" s="26"/>
      <c r="X18" s="26"/>
      <c r="Y18" s="26"/>
      <c r="Z18" s="26">
        <v>997.21</v>
      </c>
      <c r="AA18" s="26">
        <v>517.89999999999964</v>
      </c>
      <c r="AB18" s="26"/>
      <c r="AC18" s="26">
        <v>1819.2599999999984</v>
      </c>
      <c r="AD18" s="26">
        <v>906.95000000000073</v>
      </c>
      <c r="AE18" s="26">
        <v>453.02999999999975</v>
      </c>
      <c r="AF18" s="26">
        <v>988.02000000000044</v>
      </c>
      <c r="AG18" s="26"/>
      <c r="AH18" s="26">
        <v>7570.0599999999977</v>
      </c>
      <c r="AI18" s="26">
        <v>183</v>
      </c>
      <c r="AJ18" s="26"/>
      <c r="AK18" s="26">
        <v>715.59000000000015</v>
      </c>
      <c r="AL18" s="26"/>
      <c r="AM18" s="26">
        <v>907.8700000000008</v>
      </c>
      <c r="AN18" s="26"/>
      <c r="AO18" s="26">
        <v>452.52000000000044</v>
      </c>
      <c r="AP18" s="26">
        <v>4696.7799999999988</v>
      </c>
      <c r="AQ18" s="26">
        <v>453.60000000000036</v>
      </c>
      <c r="AR18" s="26"/>
      <c r="AS18" s="26">
        <v>7275.36</v>
      </c>
      <c r="AT18" s="60">
        <f t="shared" si="2"/>
        <v>63036.799999999996</v>
      </c>
      <c r="AU18" s="23">
        <f t="shared" si="3"/>
        <v>2.2886648464491698E-2</v>
      </c>
      <c r="AV18" s="2" t="s">
        <v>68</v>
      </c>
    </row>
    <row r="19" spans="1:48" x14ac:dyDescent="0.2">
      <c r="A19" s="2" t="s">
        <v>43</v>
      </c>
      <c r="B19" s="26">
        <v>4617.8899999999994</v>
      </c>
      <c r="C19" s="26">
        <v>0</v>
      </c>
      <c r="D19" s="26">
        <v>1140.6599999999999</v>
      </c>
      <c r="E19" s="26">
        <v>1892.7200000000012</v>
      </c>
      <c r="F19" s="26">
        <v>4732.0599999999977</v>
      </c>
      <c r="G19" s="26">
        <v>1198.1400000000012</v>
      </c>
      <c r="H19" s="26"/>
      <c r="I19" s="26">
        <v>6860.1300000000047</v>
      </c>
      <c r="J19" s="26">
        <v>2498.3100000000013</v>
      </c>
      <c r="K19" s="26">
        <v>365.08999999999969</v>
      </c>
      <c r="L19" s="26">
        <v>1470.4400000000023</v>
      </c>
      <c r="M19" s="26">
        <v>1436.6299999999992</v>
      </c>
      <c r="N19" s="26"/>
      <c r="O19" s="26"/>
      <c r="P19" s="26"/>
      <c r="Q19" s="26"/>
      <c r="R19" s="26">
        <v>1441.1999999999989</v>
      </c>
      <c r="S19" s="26">
        <v>1432.1900000000005</v>
      </c>
      <c r="T19" s="26">
        <v>902.22000000000025</v>
      </c>
      <c r="U19" s="26"/>
      <c r="V19" s="26">
        <v>1067.2900000000009</v>
      </c>
      <c r="W19" s="26"/>
      <c r="X19" s="26"/>
      <c r="Y19" s="26"/>
      <c r="Z19" s="26">
        <v>733.82000000000062</v>
      </c>
      <c r="AA19" s="26">
        <v>826.31999999999971</v>
      </c>
      <c r="AB19" s="26"/>
      <c r="AC19" s="26">
        <v>1450.6099999999988</v>
      </c>
      <c r="AD19" s="26">
        <v>755.39000000000033</v>
      </c>
      <c r="AE19" s="26">
        <v>365.09000000000015</v>
      </c>
      <c r="AF19" s="26">
        <v>1094.8599999999988</v>
      </c>
      <c r="AG19" s="26"/>
      <c r="AH19" s="26">
        <v>5410.5999999999985</v>
      </c>
      <c r="AI19" s="26">
        <v>399.22999999999956</v>
      </c>
      <c r="AJ19" s="26"/>
      <c r="AK19" s="26">
        <v>833.32999999999993</v>
      </c>
      <c r="AL19" s="26"/>
      <c r="AM19" s="26">
        <v>599.60000000000036</v>
      </c>
      <c r="AN19" s="26"/>
      <c r="AO19" s="26">
        <v>365.09000000000015</v>
      </c>
      <c r="AP19" s="26">
        <v>2734.2200000000012</v>
      </c>
      <c r="AQ19" s="26">
        <v>365.08999999999969</v>
      </c>
      <c r="AR19" s="26"/>
      <c r="AS19" s="26">
        <v>8142.65</v>
      </c>
      <c r="AT19" s="60">
        <f t="shared" si="2"/>
        <v>55130.870000000017</v>
      </c>
      <c r="AU19" s="23">
        <f t="shared" si="3"/>
        <v>2.0016257824502386E-2</v>
      </c>
    </row>
    <row r="20" spans="1:48" x14ac:dyDescent="0.2">
      <c r="A20" s="2" t="s">
        <v>44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/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/>
      <c r="O20" s="26"/>
      <c r="P20" s="26"/>
      <c r="Q20" s="26"/>
      <c r="R20" s="26">
        <v>0</v>
      </c>
      <c r="S20" s="26">
        <v>0</v>
      </c>
      <c r="T20" s="26">
        <v>0</v>
      </c>
      <c r="U20" s="26"/>
      <c r="V20" s="26">
        <v>0</v>
      </c>
      <c r="W20" s="26"/>
      <c r="X20" s="26"/>
      <c r="Y20" s="26"/>
      <c r="Z20" s="26">
        <v>0</v>
      </c>
      <c r="AA20" s="26">
        <v>0</v>
      </c>
      <c r="AB20" s="26"/>
      <c r="AC20" s="26">
        <v>0</v>
      </c>
      <c r="AD20" s="26">
        <v>0</v>
      </c>
      <c r="AE20" s="26">
        <v>0</v>
      </c>
      <c r="AF20" s="26">
        <v>0</v>
      </c>
      <c r="AG20" s="26"/>
      <c r="AH20" s="26">
        <v>0</v>
      </c>
      <c r="AI20" s="26">
        <v>0</v>
      </c>
      <c r="AJ20" s="26"/>
      <c r="AK20" s="26">
        <v>0</v>
      </c>
      <c r="AL20" s="26"/>
      <c r="AM20" s="26">
        <v>0</v>
      </c>
      <c r="AN20" s="26"/>
      <c r="AO20" s="26">
        <v>0</v>
      </c>
      <c r="AP20" s="26">
        <v>0</v>
      </c>
      <c r="AQ20" s="26">
        <v>0</v>
      </c>
      <c r="AR20" s="26"/>
      <c r="AS20" s="26">
        <v>2292</v>
      </c>
      <c r="AT20" s="60">
        <f t="shared" si="2"/>
        <v>2292</v>
      </c>
      <c r="AU20" s="23">
        <f t="shared" si="3"/>
        <v>8.3215198551663439E-4</v>
      </c>
    </row>
    <row r="21" spans="1:48" x14ac:dyDescent="0.2">
      <c r="A21" s="2" t="s">
        <v>45</v>
      </c>
      <c r="B21" s="26">
        <v>4800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/>
      <c r="I21" s="26">
        <v>0</v>
      </c>
      <c r="J21" s="26">
        <v>1600</v>
      </c>
      <c r="K21" s="26">
        <v>0</v>
      </c>
      <c r="L21" s="26">
        <v>0</v>
      </c>
      <c r="M21" s="26">
        <v>0</v>
      </c>
      <c r="N21" s="26"/>
      <c r="O21" s="26"/>
      <c r="P21" s="26"/>
      <c r="Q21" s="26"/>
      <c r="R21" s="26">
        <v>0</v>
      </c>
      <c r="S21" s="26">
        <v>0</v>
      </c>
      <c r="T21" s="26">
        <v>0</v>
      </c>
      <c r="U21" s="26"/>
      <c r="V21" s="26">
        <v>3200</v>
      </c>
      <c r="W21" s="26"/>
      <c r="X21" s="26"/>
      <c r="Y21" s="26"/>
      <c r="Z21" s="26">
        <v>0</v>
      </c>
      <c r="AA21" s="26">
        <v>0</v>
      </c>
      <c r="AB21" s="26"/>
      <c r="AC21" s="26">
        <v>0</v>
      </c>
      <c r="AD21" s="26">
        <v>0</v>
      </c>
      <c r="AE21" s="26">
        <v>0</v>
      </c>
      <c r="AF21" s="26">
        <v>0</v>
      </c>
      <c r="AG21" s="26"/>
      <c r="AH21" s="26">
        <v>0</v>
      </c>
      <c r="AI21" s="26">
        <v>0</v>
      </c>
      <c r="AJ21" s="26"/>
      <c r="AK21" s="26">
        <v>0</v>
      </c>
      <c r="AL21" s="26"/>
      <c r="AM21" s="26">
        <v>1600</v>
      </c>
      <c r="AN21" s="26"/>
      <c r="AO21" s="26">
        <v>0</v>
      </c>
      <c r="AP21" s="26">
        <v>0</v>
      </c>
      <c r="AQ21" s="26">
        <v>0</v>
      </c>
      <c r="AR21" s="26"/>
      <c r="AS21" s="26">
        <v>27200</v>
      </c>
      <c r="AT21" s="60">
        <f t="shared" si="2"/>
        <v>38400</v>
      </c>
      <c r="AU21" s="23">
        <f t="shared" si="3"/>
        <v>1.3941813369912199E-2</v>
      </c>
    </row>
    <row r="22" spans="1:48" x14ac:dyDescent="0.2">
      <c r="A22" s="2" t="s">
        <v>46</v>
      </c>
      <c r="B22" s="26">
        <v>3280</v>
      </c>
      <c r="C22" s="26">
        <v>0</v>
      </c>
      <c r="D22" s="26">
        <v>1215</v>
      </c>
      <c r="E22" s="26">
        <v>0</v>
      </c>
      <c r="F22" s="26">
        <v>3240</v>
      </c>
      <c r="G22" s="26">
        <v>830</v>
      </c>
      <c r="H22" s="26"/>
      <c r="I22" s="26">
        <v>6500</v>
      </c>
      <c r="J22" s="26">
        <v>3280</v>
      </c>
      <c r="K22" s="26">
        <v>405</v>
      </c>
      <c r="L22" s="26">
        <v>1235</v>
      </c>
      <c r="M22" s="26">
        <v>810</v>
      </c>
      <c r="N22" s="26"/>
      <c r="O22" s="26"/>
      <c r="P22" s="26"/>
      <c r="Q22" s="26"/>
      <c r="R22" s="26">
        <v>1235</v>
      </c>
      <c r="S22" s="26">
        <v>1215</v>
      </c>
      <c r="T22" s="26">
        <v>810</v>
      </c>
      <c r="U22" s="26"/>
      <c r="V22" s="26">
        <v>810</v>
      </c>
      <c r="W22" s="26"/>
      <c r="X22" s="26"/>
      <c r="Y22" s="26"/>
      <c r="Z22" s="26">
        <v>0</v>
      </c>
      <c r="AA22" s="26">
        <v>405</v>
      </c>
      <c r="AB22" s="26"/>
      <c r="AC22" s="26">
        <v>1215</v>
      </c>
      <c r="AD22" s="26">
        <v>405</v>
      </c>
      <c r="AE22" s="26">
        <v>405</v>
      </c>
      <c r="AF22" s="26">
        <v>1235</v>
      </c>
      <c r="AG22" s="26"/>
      <c r="AH22" s="26">
        <v>3685</v>
      </c>
      <c r="AI22" s="26">
        <v>830</v>
      </c>
      <c r="AJ22" s="26"/>
      <c r="AK22" s="26">
        <v>830</v>
      </c>
      <c r="AL22" s="26"/>
      <c r="AM22" s="26">
        <v>810</v>
      </c>
      <c r="AN22" s="26"/>
      <c r="AO22" s="26">
        <v>0</v>
      </c>
      <c r="AP22" s="26">
        <v>3260</v>
      </c>
      <c r="AQ22" s="26">
        <v>405</v>
      </c>
      <c r="AR22" s="26"/>
      <c r="AS22" s="26">
        <v>0</v>
      </c>
      <c r="AT22" s="60">
        <f t="shared" si="2"/>
        <v>38350</v>
      </c>
      <c r="AU22" s="23">
        <f t="shared" si="3"/>
        <v>1.3923659967086792E-2</v>
      </c>
    </row>
    <row r="23" spans="1:48" x14ac:dyDescent="0.2">
      <c r="A23" s="2" t="s">
        <v>47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/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/>
      <c r="O23" s="26"/>
      <c r="P23" s="26"/>
      <c r="Q23" s="26"/>
      <c r="R23" s="26">
        <v>0</v>
      </c>
      <c r="S23" s="26">
        <v>0</v>
      </c>
      <c r="T23" s="26">
        <v>0</v>
      </c>
      <c r="U23" s="26"/>
      <c r="V23" s="26">
        <v>0</v>
      </c>
      <c r="W23" s="26"/>
      <c r="X23" s="26"/>
      <c r="Y23" s="26"/>
      <c r="Z23" s="26">
        <v>0</v>
      </c>
      <c r="AA23" s="26">
        <v>0</v>
      </c>
      <c r="AB23" s="26"/>
      <c r="AC23" s="26">
        <v>0</v>
      </c>
      <c r="AD23" s="26">
        <v>0</v>
      </c>
      <c r="AE23" s="26">
        <v>0</v>
      </c>
      <c r="AF23" s="26">
        <v>0</v>
      </c>
      <c r="AG23" s="26"/>
      <c r="AH23" s="26">
        <v>0</v>
      </c>
      <c r="AI23" s="26">
        <v>0</v>
      </c>
      <c r="AJ23" s="26"/>
      <c r="AK23" s="26">
        <v>0</v>
      </c>
      <c r="AL23" s="26"/>
      <c r="AM23" s="26">
        <v>0</v>
      </c>
      <c r="AN23" s="26"/>
      <c r="AO23" s="26">
        <v>0</v>
      </c>
      <c r="AP23" s="26">
        <v>0</v>
      </c>
      <c r="AQ23" s="26">
        <v>0</v>
      </c>
      <c r="AR23" s="26"/>
      <c r="AS23" s="26">
        <v>0</v>
      </c>
      <c r="AT23" s="60">
        <f t="shared" si="2"/>
        <v>0</v>
      </c>
      <c r="AU23" s="23">
        <f t="shared" si="3"/>
        <v>0</v>
      </c>
    </row>
    <row r="24" spans="1:48" x14ac:dyDescent="0.2">
      <c r="A24" s="2" t="s">
        <v>48</v>
      </c>
      <c r="B24" s="26">
        <v>283.62000000000035</v>
      </c>
      <c r="C24" s="26">
        <v>283.62000000000035</v>
      </c>
      <c r="D24" s="26">
        <v>283.61999999999989</v>
      </c>
      <c r="E24" s="26">
        <v>283.62000000000035</v>
      </c>
      <c r="F24" s="26">
        <v>283.62000000000035</v>
      </c>
      <c r="G24" s="26">
        <v>283.62000000000035</v>
      </c>
      <c r="H24" s="26"/>
      <c r="I24" s="26">
        <v>283.62000000000012</v>
      </c>
      <c r="J24" s="26">
        <v>283.62000000000035</v>
      </c>
      <c r="K24" s="26">
        <v>0</v>
      </c>
      <c r="L24" s="26">
        <v>283.62000000000035</v>
      </c>
      <c r="M24" s="26">
        <v>283.62000000000035</v>
      </c>
      <c r="N24" s="26"/>
      <c r="O24" s="26"/>
      <c r="P24" s="26"/>
      <c r="Q24" s="26"/>
      <c r="R24" s="26">
        <v>567.24000000000069</v>
      </c>
      <c r="S24" s="26">
        <v>283.62000000000035</v>
      </c>
      <c r="T24" s="26">
        <v>283.62000000000035</v>
      </c>
      <c r="U24" s="26"/>
      <c r="V24" s="26">
        <v>283.61999999999989</v>
      </c>
      <c r="W24" s="26"/>
      <c r="X24" s="26"/>
      <c r="Y24" s="26"/>
      <c r="Z24" s="26">
        <v>283.62000000000035</v>
      </c>
      <c r="AA24" s="26">
        <v>283.62000000000035</v>
      </c>
      <c r="AB24" s="26"/>
      <c r="AC24" s="26">
        <v>283.62000000000035</v>
      </c>
      <c r="AD24" s="26">
        <v>283.62000000000035</v>
      </c>
      <c r="AE24" s="26">
        <v>283.62000000000035</v>
      </c>
      <c r="AF24" s="26">
        <v>567.24000000000069</v>
      </c>
      <c r="AG24" s="26"/>
      <c r="AH24" s="26">
        <v>283.62000000000035</v>
      </c>
      <c r="AI24" s="26">
        <v>283.62000000000035</v>
      </c>
      <c r="AJ24" s="26"/>
      <c r="AK24" s="26">
        <v>283.62000000000035</v>
      </c>
      <c r="AL24" s="26"/>
      <c r="AM24" s="26">
        <v>283.62000000000035</v>
      </c>
      <c r="AN24" s="26"/>
      <c r="AO24" s="26">
        <v>283.62000000000035</v>
      </c>
      <c r="AP24" s="26">
        <v>567.24000000000069</v>
      </c>
      <c r="AQ24" s="26">
        <v>283.62000000000035</v>
      </c>
      <c r="AR24" s="26"/>
      <c r="AS24" s="26">
        <v>2329.33</v>
      </c>
      <c r="AT24" s="60">
        <f t="shared" si="2"/>
        <v>10837.930000000011</v>
      </c>
      <c r="AU24" s="23">
        <f t="shared" si="3"/>
        <v>3.9349061816711635E-3</v>
      </c>
    </row>
    <row r="25" spans="1:48" x14ac:dyDescent="0.2">
      <c r="A25" s="2" t="s">
        <v>49</v>
      </c>
      <c r="B25" s="26">
        <v>406.2800000000002</v>
      </c>
      <c r="C25" s="26">
        <v>88.000000000000114</v>
      </c>
      <c r="D25" s="26">
        <v>0</v>
      </c>
      <c r="E25" s="26">
        <v>85.75</v>
      </c>
      <c r="F25" s="26">
        <v>265.63999999999987</v>
      </c>
      <c r="G25" s="26">
        <v>118.74000000000001</v>
      </c>
      <c r="H25" s="26"/>
      <c r="I25" s="26">
        <v>706.98</v>
      </c>
      <c r="J25" s="26">
        <v>134.8900000000001</v>
      </c>
      <c r="K25" s="26">
        <v>40.519999999999982</v>
      </c>
      <c r="L25" s="26">
        <v>170.26999999999998</v>
      </c>
      <c r="M25" s="26">
        <v>67.940000000000055</v>
      </c>
      <c r="N25" s="26"/>
      <c r="O25" s="26"/>
      <c r="P25" s="26"/>
      <c r="Q25" s="26"/>
      <c r="R25" s="26">
        <v>294</v>
      </c>
      <c r="S25" s="26">
        <v>175.68000000000006</v>
      </c>
      <c r="T25" s="26">
        <v>259.99999999999989</v>
      </c>
      <c r="U25" s="26"/>
      <c r="V25" s="26">
        <v>84.899999999999864</v>
      </c>
      <c r="W25" s="26"/>
      <c r="X25" s="26"/>
      <c r="Y25" s="26"/>
      <c r="Z25" s="26">
        <v>102.34000000000003</v>
      </c>
      <c r="AA25" s="26">
        <v>326.47000000000003</v>
      </c>
      <c r="AB25" s="26"/>
      <c r="AC25" s="26">
        <v>158.06999999999971</v>
      </c>
      <c r="AD25" s="26">
        <v>31.259999999999991</v>
      </c>
      <c r="AE25" s="26">
        <v>0</v>
      </c>
      <c r="AF25" s="26">
        <v>85.819999999999936</v>
      </c>
      <c r="AG25" s="26"/>
      <c r="AH25" s="26">
        <v>396.17000000000007</v>
      </c>
      <c r="AI25" s="26">
        <v>65.710000000000036</v>
      </c>
      <c r="AJ25" s="26"/>
      <c r="AK25" s="26">
        <v>134.94000000000005</v>
      </c>
      <c r="AL25" s="26"/>
      <c r="AM25" s="26">
        <v>0</v>
      </c>
      <c r="AN25" s="26"/>
      <c r="AO25" s="26">
        <v>70.730000000000018</v>
      </c>
      <c r="AP25" s="26">
        <v>166.14999999999986</v>
      </c>
      <c r="AQ25" s="26">
        <v>0</v>
      </c>
      <c r="AR25" s="26"/>
      <c r="AS25" s="26">
        <v>2623.48</v>
      </c>
      <c r="AT25" s="60">
        <f t="shared" si="2"/>
        <v>7060.73</v>
      </c>
      <c r="AU25" s="23">
        <f t="shared" si="3"/>
        <v>2.5635255186286497E-3</v>
      </c>
    </row>
    <row r="26" spans="1:48" x14ac:dyDescent="0.2">
      <c r="A26" s="2" t="s">
        <v>50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/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/>
      <c r="O26" s="26"/>
      <c r="P26" s="26"/>
      <c r="Q26" s="26"/>
      <c r="R26" s="26">
        <v>0</v>
      </c>
      <c r="S26" s="26">
        <v>0</v>
      </c>
      <c r="T26" s="26">
        <v>0</v>
      </c>
      <c r="U26" s="26"/>
      <c r="V26" s="26">
        <v>0</v>
      </c>
      <c r="W26" s="26"/>
      <c r="X26" s="26"/>
      <c r="Y26" s="26"/>
      <c r="Z26" s="26">
        <v>0</v>
      </c>
      <c r="AA26" s="26">
        <v>0</v>
      </c>
      <c r="AB26" s="26"/>
      <c r="AC26" s="26">
        <v>0</v>
      </c>
      <c r="AD26" s="26">
        <v>0</v>
      </c>
      <c r="AE26" s="26">
        <v>0</v>
      </c>
      <c r="AF26" s="26">
        <v>0</v>
      </c>
      <c r="AG26" s="26"/>
      <c r="AH26" s="26">
        <v>0</v>
      </c>
      <c r="AI26" s="26">
        <v>0</v>
      </c>
      <c r="AJ26" s="26"/>
      <c r="AK26" s="26">
        <v>0</v>
      </c>
      <c r="AL26" s="26"/>
      <c r="AM26" s="26">
        <v>0</v>
      </c>
      <c r="AN26" s="26"/>
      <c r="AO26" s="26">
        <v>0</v>
      </c>
      <c r="AP26" s="26">
        <v>0</v>
      </c>
      <c r="AQ26" s="26">
        <v>0</v>
      </c>
      <c r="AR26" s="26"/>
      <c r="AS26" s="26">
        <v>44837.96</v>
      </c>
      <c r="AT26" s="60">
        <f t="shared" si="2"/>
        <v>44837.96</v>
      </c>
      <c r="AU26" s="23">
        <f t="shared" si="3"/>
        <v>1.6279230994989281E-2</v>
      </c>
    </row>
    <row r="27" spans="1:48" x14ac:dyDescent="0.2">
      <c r="A27" s="2" t="s">
        <v>51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/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/>
      <c r="O27" s="26"/>
      <c r="P27" s="26"/>
      <c r="Q27" s="26"/>
      <c r="R27" s="26">
        <v>0</v>
      </c>
      <c r="S27" s="26">
        <v>0</v>
      </c>
      <c r="T27" s="26">
        <v>0</v>
      </c>
      <c r="U27" s="26"/>
      <c r="V27" s="26">
        <v>0</v>
      </c>
      <c r="W27" s="26"/>
      <c r="X27" s="26"/>
      <c r="Y27" s="26"/>
      <c r="Z27" s="26">
        <v>0</v>
      </c>
      <c r="AA27" s="26">
        <v>0</v>
      </c>
      <c r="AB27" s="26"/>
      <c r="AC27" s="26">
        <v>0</v>
      </c>
      <c r="AD27" s="26">
        <v>0</v>
      </c>
      <c r="AE27" s="26">
        <v>0</v>
      </c>
      <c r="AF27" s="26">
        <v>0</v>
      </c>
      <c r="AG27" s="26"/>
      <c r="AH27" s="26">
        <v>0</v>
      </c>
      <c r="AI27" s="26">
        <v>0</v>
      </c>
      <c r="AJ27" s="26"/>
      <c r="AK27" s="26">
        <v>0</v>
      </c>
      <c r="AL27" s="26"/>
      <c r="AM27" s="26">
        <v>0</v>
      </c>
      <c r="AN27" s="26"/>
      <c r="AO27" s="26">
        <v>0</v>
      </c>
      <c r="AP27" s="26">
        <v>0</v>
      </c>
      <c r="AQ27" s="26">
        <v>0</v>
      </c>
      <c r="AR27" s="26"/>
      <c r="AS27" s="26">
        <v>0</v>
      </c>
      <c r="AT27" s="60">
        <f t="shared" si="2"/>
        <v>0</v>
      </c>
      <c r="AU27" s="23">
        <f t="shared" si="3"/>
        <v>0</v>
      </c>
    </row>
    <row r="28" spans="1:48" x14ac:dyDescent="0.2">
      <c r="A28" s="2" t="s">
        <v>52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/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/>
      <c r="O28" s="26"/>
      <c r="P28" s="26"/>
      <c r="Q28" s="26"/>
      <c r="R28" s="26">
        <v>0</v>
      </c>
      <c r="S28" s="26">
        <v>0</v>
      </c>
      <c r="T28" s="26">
        <v>0</v>
      </c>
      <c r="U28" s="26"/>
      <c r="V28" s="26">
        <v>0</v>
      </c>
      <c r="W28" s="26"/>
      <c r="X28" s="26"/>
      <c r="Y28" s="26"/>
      <c r="Z28" s="26">
        <v>0</v>
      </c>
      <c r="AA28" s="26">
        <v>0</v>
      </c>
      <c r="AB28" s="26"/>
      <c r="AC28" s="26">
        <v>0</v>
      </c>
      <c r="AD28" s="26">
        <v>0</v>
      </c>
      <c r="AE28" s="26">
        <v>0</v>
      </c>
      <c r="AF28" s="26">
        <v>0</v>
      </c>
      <c r="AG28" s="26"/>
      <c r="AH28" s="26">
        <v>0</v>
      </c>
      <c r="AI28" s="26">
        <v>0</v>
      </c>
      <c r="AJ28" s="26"/>
      <c r="AK28" s="26">
        <v>0</v>
      </c>
      <c r="AL28" s="26"/>
      <c r="AM28" s="26">
        <v>0</v>
      </c>
      <c r="AN28" s="26"/>
      <c r="AO28" s="26">
        <v>0</v>
      </c>
      <c r="AP28" s="26">
        <v>0</v>
      </c>
      <c r="AQ28" s="26">
        <v>0</v>
      </c>
      <c r="AR28" s="26"/>
      <c r="AS28" s="26">
        <v>2100</v>
      </c>
      <c r="AT28" s="60">
        <f t="shared" si="2"/>
        <v>2100</v>
      </c>
      <c r="AU28" s="23">
        <f t="shared" si="3"/>
        <v>7.6244291866707341E-4</v>
      </c>
    </row>
    <row r="29" spans="1:48" x14ac:dyDescent="0.2">
      <c r="A29" s="2" t="s">
        <v>53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/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/>
      <c r="O29" s="26"/>
      <c r="P29" s="26"/>
      <c r="Q29" s="26"/>
      <c r="R29" s="26">
        <v>0</v>
      </c>
      <c r="S29" s="26">
        <v>0</v>
      </c>
      <c r="T29" s="26">
        <v>0</v>
      </c>
      <c r="U29" s="26"/>
      <c r="V29" s="26">
        <v>0</v>
      </c>
      <c r="W29" s="26"/>
      <c r="X29" s="26"/>
      <c r="Y29" s="26"/>
      <c r="Z29" s="26">
        <v>0</v>
      </c>
      <c r="AA29" s="26">
        <v>0</v>
      </c>
      <c r="AB29" s="26"/>
      <c r="AC29" s="26">
        <v>0</v>
      </c>
      <c r="AD29" s="26">
        <v>0</v>
      </c>
      <c r="AE29" s="26">
        <v>0</v>
      </c>
      <c r="AF29" s="26">
        <v>0</v>
      </c>
      <c r="AG29" s="26"/>
      <c r="AH29" s="26">
        <v>0</v>
      </c>
      <c r="AI29" s="26">
        <v>0</v>
      </c>
      <c r="AJ29" s="26"/>
      <c r="AK29" s="26">
        <v>0</v>
      </c>
      <c r="AL29" s="26"/>
      <c r="AM29" s="26">
        <v>0</v>
      </c>
      <c r="AN29" s="26"/>
      <c r="AO29" s="26">
        <v>0</v>
      </c>
      <c r="AP29" s="26">
        <v>0</v>
      </c>
      <c r="AQ29" s="26">
        <v>0</v>
      </c>
      <c r="AR29" s="26"/>
      <c r="AS29" s="26">
        <v>8042.35</v>
      </c>
      <c r="AT29" s="60">
        <f t="shared" si="2"/>
        <v>8042.35</v>
      </c>
      <c r="AU29" s="23">
        <f t="shared" si="3"/>
        <v>2.9199203842581608E-3</v>
      </c>
    </row>
    <row r="30" spans="1:48" x14ac:dyDescent="0.2">
      <c r="A30" s="2" t="s">
        <v>54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/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/>
      <c r="O30" s="26"/>
      <c r="P30" s="26"/>
      <c r="Q30" s="26"/>
      <c r="R30" s="26">
        <v>0</v>
      </c>
      <c r="S30" s="26">
        <v>0</v>
      </c>
      <c r="T30" s="26">
        <v>0</v>
      </c>
      <c r="U30" s="26"/>
      <c r="V30" s="26">
        <v>0</v>
      </c>
      <c r="W30" s="26"/>
      <c r="X30" s="26"/>
      <c r="Y30" s="26"/>
      <c r="Z30" s="26">
        <v>0</v>
      </c>
      <c r="AA30" s="26">
        <v>0</v>
      </c>
      <c r="AB30" s="26"/>
      <c r="AC30" s="26">
        <v>0</v>
      </c>
      <c r="AD30" s="26">
        <v>0</v>
      </c>
      <c r="AE30" s="26">
        <v>0</v>
      </c>
      <c r="AF30" s="26">
        <v>0</v>
      </c>
      <c r="AG30" s="26"/>
      <c r="AH30" s="26">
        <v>0</v>
      </c>
      <c r="AI30" s="26">
        <v>0</v>
      </c>
      <c r="AJ30" s="26"/>
      <c r="AK30" s="26">
        <v>0</v>
      </c>
      <c r="AL30" s="26"/>
      <c r="AM30" s="26">
        <v>0</v>
      </c>
      <c r="AN30" s="26"/>
      <c r="AO30" s="26">
        <v>0</v>
      </c>
      <c r="AP30" s="26">
        <v>0</v>
      </c>
      <c r="AQ30" s="26">
        <v>0</v>
      </c>
      <c r="AR30" s="26"/>
      <c r="AS30" s="26">
        <v>1250</v>
      </c>
      <c r="AT30" s="60">
        <f t="shared" si="2"/>
        <v>1250</v>
      </c>
      <c r="AU30" s="23">
        <f t="shared" si="3"/>
        <v>4.5383507063516274E-4</v>
      </c>
    </row>
    <row r="31" spans="1:48" x14ac:dyDescent="0.2">
      <c r="A31" s="2" t="s">
        <v>55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/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/>
      <c r="O31" s="26"/>
      <c r="P31" s="26"/>
      <c r="Q31" s="26"/>
      <c r="R31" s="26">
        <v>0</v>
      </c>
      <c r="S31" s="26">
        <v>0</v>
      </c>
      <c r="T31" s="26">
        <v>0</v>
      </c>
      <c r="U31" s="26"/>
      <c r="V31" s="26">
        <v>0</v>
      </c>
      <c r="W31" s="26"/>
      <c r="X31" s="26"/>
      <c r="Y31" s="26"/>
      <c r="Z31" s="26">
        <v>0</v>
      </c>
      <c r="AA31" s="26">
        <v>0</v>
      </c>
      <c r="AB31" s="26"/>
      <c r="AC31" s="26">
        <v>0</v>
      </c>
      <c r="AD31" s="26">
        <v>0</v>
      </c>
      <c r="AE31" s="26">
        <v>0</v>
      </c>
      <c r="AF31" s="26">
        <v>0</v>
      </c>
      <c r="AG31" s="26"/>
      <c r="AH31" s="26">
        <v>0</v>
      </c>
      <c r="AI31" s="26">
        <v>0</v>
      </c>
      <c r="AJ31" s="26"/>
      <c r="AK31" s="26">
        <v>0</v>
      </c>
      <c r="AL31" s="26"/>
      <c r="AM31" s="26">
        <v>0</v>
      </c>
      <c r="AN31" s="26"/>
      <c r="AO31" s="26">
        <v>0</v>
      </c>
      <c r="AP31" s="26">
        <v>0</v>
      </c>
      <c r="AQ31" s="26">
        <v>0</v>
      </c>
      <c r="AR31" s="26"/>
      <c r="AS31" s="26">
        <v>18514.599999999999</v>
      </c>
      <c r="AT31" s="60">
        <f t="shared" si="2"/>
        <v>18514.599999999999</v>
      </c>
      <c r="AU31" s="23">
        <f t="shared" si="3"/>
        <v>6.7220598390254262E-3</v>
      </c>
    </row>
    <row r="32" spans="1:48" x14ac:dyDescent="0.2">
      <c r="A32" s="2" t="s">
        <v>56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/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/>
      <c r="O32" s="26"/>
      <c r="P32" s="26"/>
      <c r="Q32" s="26"/>
      <c r="R32" s="26">
        <v>0</v>
      </c>
      <c r="S32" s="26">
        <v>0</v>
      </c>
      <c r="T32" s="26">
        <v>0</v>
      </c>
      <c r="U32" s="26"/>
      <c r="V32" s="26">
        <v>0</v>
      </c>
      <c r="W32" s="26"/>
      <c r="X32" s="26"/>
      <c r="Y32" s="26"/>
      <c r="Z32" s="26">
        <v>0</v>
      </c>
      <c r="AA32" s="26">
        <v>0</v>
      </c>
      <c r="AB32" s="26"/>
      <c r="AC32" s="26">
        <v>0</v>
      </c>
      <c r="AD32" s="26">
        <v>0</v>
      </c>
      <c r="AE32" s="26">
        <v>0</v>
      </c>
      <c r="AF32" s="26">
        <v>0</v>
      </c>
      <c r="AG32" s="26"/>
      <c r="AH32" s="26">
        <v>0</v>
      </c>
      <c r="AI32" s="26">
        <v>0</v>
      </c>
      <c r="AJ32" s="26"/>
      <c r="AK32" s="26">
        <v>0</v>
      </c>
      <c r="AL32" s="26"/>
      <c r="AM32" s="26">
        <v>0</v>
      </c>
      <c r="AN32" s="26"/>
      <c r="AO32" s="26">
        <v>0</v>
      </c>
      <c r="AP32" s="26">
        <v>0</v>
      </c>
      <c r="AQ32" s="26">
        <v>0</v>
      </c>
      <c r="AR32" s="26"/>
      <c r="AS32" s="26">
        <v>0</v>
      </c>
      <c r="AT32" s="60">
        <f t="shared" si="2"/>
        <v>0</v>
      </c>
      <c r="AU32" s="23">
        <f t="shared" si="3"/>
        <v>0</v>
      </c>
    </row>
    <row r="33" spans="1:48" x14ac:dyDescent="0.2">
      <c r="A33" s="76" t="s">
        <v>102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/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/>
      <c r="O33" s="26"/>
      <c r="P33" s="26"/>
      <c r="Q33" s="26"/>
      <c r="R33" s="26">
        <v>0</v>
      </c>
      <c r="S33" s="26">
        <v>0</v>
      </c>
      <c r="T33" s="26">
        <v>0</v>
      </c>
      <c r="U33" s="26"/>
      <c r="V33" s="26">
        <v>0</v>
      </c>
      <c r="W33" s="26"/>
      <c r="X33" s="26"/>
      <c r="Y33" s="26"/>
      <c r="Z33" s="26">
        <v>0</v>
      </c>
      <c r="AA33" s="26">
        <v>0</v>
      </c>
      <c r="AB33" s="26"/>
      <c r="AC33" s="26">
        <v>0</v>
      </c>
      <c r="AD33" s="26">
        <v>0</v>
      </c>
      <c r="AE33" s="26">
        <v>0</v>
      </c>
      <c r="AF33" s="26">
        <v>0</v>
      </c>
      <c r="AG33" s="26"/>
      <c r="AH33" s="26">
        <v>0</v>
      </c>
      <c r="AI33" s="26">
        <v>0</v>
      </c>
      <c r="AJ33" s="26"/>
      <c r="AK33" s="26">
        <v>0</v>
      </c>
      <c r="AL33" s="26"/>
      <c r="AM33" s="26">
        <v>0</v>
      </c>
      <c r="AN33" s="26"/>
      <c r="AO33" s="26">
        <v>0</v>
      </c>
      <c r="AP33" s="26">
        <v>0</v>
      </c>
      <c r="AQ33" s="26">
        <v>0</v>
      </c>
      <c r="AR33" s="26"/>
      <c r="AS33" s="26">
        <v>15000</v>
      </c>
      <c r="AT33" s="60">
        <f t="shared" si="2"/>
        <v>15000</v>
      </c>
      <c r="AU33" s="23">
        <f t="shared" si="3"/>
        <v>5.4460208476219529E-3</v>
      </c>
    </row>
    <row r="34" spans="1:48" x14ac:dyDescent="0.2">
      <c r="A34" s="2" t="s">
        <v>57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0</v>
      </c>
      <c r="H34" s="26"/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/>
      <c r="O34" s="26"/>
      <c r="P34" s="26"/>
      <c r="Q34" s="26"/>
      <c r="R34" s="26">
        <v>0</v>
      </c>
      <c r="S34" s="26">
        <v>0</v>
      </c>
      <c r="T34" s="26">
        <v>0</v>
      </c>
      <c r="U34" s="26"/>
      <c r="V34" s="26">
        <v>0</v>
      </c>
      <c r="W34" s="26"/>
      <c r="X34" s="26"/>
      <c r="Y34" s="26"/>
      <c r="Z34" s="26">
        <v>0</v>
      </c>
      <c r="AA34" s="26">
        <v>0</v>
      </c>
      <c r="AB34" s="26"/>
      <c r="AC34" s="26">
        <v>0</v>
      </c>
      <c r="AD34" s="26">
        <v>0</v>
      </c>
      <c r="AE34" s="26">
        <v>0</v>
      </c>
      <c r="AF34" s="26">
        <v>0</v>
      </c>
      <c r="AG34" s="26"/>
      <c r="AH34" s="26">
        <v>0</v>
      </c>
      <c r="AI34" s="26">
        <v>0</v>
      </c>
      <c r="AJ34" s="26"/>
      <c r="AK34" s="26">
        <v>0</v>
      </c>
      <c r="AL34" s="26"/>
      <c r="AM34" s="26">
        <v>0</v>
      </c>
      <c r="AN34" s="26"/>
      <c r="AO34" s="26">
        <v>0</v>
      </c>
      <c r="AP34" s="26">
        <v>0</v>
      </c>
      <c r="AQ34" s="26">
        <v>0</v>
      </c>
      <c r="AR34" s="26"/>
      <c r="AS34" s="26">
        <v>660</v>
      </c>
      <c r="AT34" s="60">
        <f t="shared" si="2"/>
        <v>660</v>
      </c>
      <c r="AU34" s="23">
        <f t="shared" si="3"/>
        <v>2.3962491729536591E-4</v>
      </c>
    </row>
    <row r="35" spans="1:48" x14ac:dyDescent="0.2">
      <c r="A35" s="2" t="s">
        <v>58</v>
      </c>
      <c r="B35" s="26">
        <v>0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/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/>
      <c r="O35" s="26"/>
      <c r="P35" s="26"/>
      <c r="Q35" s="26"/>
      <c r="R35" s="26">
        <v>0</v>
      </c>
      <c r="S35" s="26">
        <v>0</v>
      </c>
      <c r="T35" s="26">
        <v>0</v>
      </c>
      <c r="U35" s="26"/>
      <c r="V35" s="26">
        <v>0</v>
      </c>
      <c r="W35" s="26"/>
      <c r="X35" s="26"/>
      <c r="Y35" s="26"/>
      <c r="Z35" s="26">
        <v>0</v>
      </c>
      <c r="AA35" s="26">
        <v>0</v>
      </c>
      <c r="AB35" s="26"/>
      <c r="AC35" s="26">
        <v>0</v>
      </c>
      <c r="AD35" s="26">
        <v>0</v>
      </c>
      <c r="AE35" s="26">
        <v>0</v>
      </c>
      <c r="AF35" s="26">
        <v>0</v>
      </c>
      <c r="AG35" s="26"/>
      <c r="AH35" s="26">
        <v>0</v>
      </c>
      <c r="AI35" s="26">
        <v>0</v>
      </c>
      <c r="AJ35" s="26"/>
      <c r="AK35" s="26">
        <v>0</v>
      </c>
      <c r="AL35" s="26"/>
      <c r="AM35" s="26">
        <v>0</v>
      </c>
      <c r="AN35" s="26"/>
      <c r="AO35" s="26">
        <v>0</v>
      </c>
      <c r="AP35" s="26">
        <v>0</v>
      </c>
      <c r="AQ35" s="26">
        <v>0</v>
      </c>
      <c r="AR35" s="26"/>
      <c r="AS35" s="26">
        <v>0</v>
      </c>
      <c r="AT35" s="60">
        <f t="shared" si="2"/>
        <v>0</v>
      </c>
      <c r="AU35" s="23">
        <f t="shared" si="3"/>
        <v>0</v>
      </c>
    </row>
    <row r="36" spans="1:48" x14ac:dyDescent="0.2">
      <c r="A36" s="2" t="s">
        <v>59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/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/>
      <c r="O36" s="26"/>
      <c r="P36" s="26"/>
      <c r="Q36" s="26"/>
      <c r="R36" s="26">
        <v>0</v>
      </c>
      <c r="S36" s="26">
        <v>0</v>
      </c>
      <c r="T36" s="26">
        <v>0</v>
      </c>
      <c r="U36" s="26"/>
      <c r="V36" s="26">
        <v>0</v>
      </c>
      <c r="W36" s="26"/>
      <c r="X36" s="26"/>
      <c r="Y36" s="26"/>
      <c r="Z36" s="26">
        <v>0</v>
      </c>
      <c r="AA36" s="26">
        <v>0</v>
      </c>
      <c r="AB36" s="26"/>
      <c r="AC36" s="26">
        <v>0</v>
      </c>
      <c r="AD36" s="26">
        <v>0</v>
      </c>
      <c r="AE36" s="26">
        <v>0</v>
      </c>
      <c r="AF36" s="26">
        <v>0</v>
      </c>
      <c r="AG36" s="26"/>
      <c r="AH36" s="26">
        <v>0</v>
      </c>
      <c r="AI36" s="26">
        <v>0</v>
      </c>
      <c r="AJ36" s="26"/>
      <c r="AK36" s="26">
        <v>0</v>
      </c>
      <c r="AL36" s="26"/>
      <c r="AM36" s="26">
        <v>0</v>
      </c>
      <c r="AN36" s="26"/>
      <c r="AO36" s="26">
        <v>0</v>
      </c>
      <c r="AP36" s="26">
        <v>0</v>
      </c>
      <c r="AQ36" s="26">
        <v>0</v>
      </c>
      <c r="AR36" s="26"/>
      <c r="AS36" s="26">
        <v>0</v>
      </c>
      <c r="AT36" s="60">
        <f t="shared" si="2"/>
        <v>0</v>
      </c>
      <c r="AU36" s="23">
        <f t="shared" si="3"/>
        <v>0</v>
      </c>
    </row>
    <row r="37" spans="1:48" x14ac:dyDescent="0.2">
      <c r="A37" s="2" t="s">
        <v>60</v>
      </c>
      <c r="B37" s="26">
        <v>0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/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/>
      <c r="O37" s="26"/>
      <c r="P37" s="26"/>
      <c r="Q37" s="26"/>
      <c r="R37" s="26">
        <v>0</v>
      </c>
      <c r="S37" s="26">
        <v>0</v>
      </c>
      <c r="T37" s="26">
        <v>0</v>
      </c>
      <c r="U37" s="26"/>
      <c r="V37" s="26">
        <v>0</v>
      </c>
      <c r="W37" s="26"/>
      <c r="X37" s="26"/>
      <c r="Y37" s="26"/>
      <c r="Z37" s="26">
        <v>0</v>
      </c>
      <c r="AA37" s="26">
        <v>0</v>
      </c>
      <c r="AB37" s="26"/>
      <c r="AC37" s="26">
        <v>0</v>
      </c>
      <c r="AD37" s="26">
        <v>0</v>
      </c>
      <c r="AE37" s="26">
        <v>0</v>
      </c>
      <c r="AF37" s="26">
        <v>0</v>
      </c>
      <c r="AG37" s="26"/>
      <c r="AH37" s="26">
        <v>0</v>
      </c>
      <c r="AI37" s="26">
        <v>0</v>
      </c>
      <c r="AJ37" s="26"/>
      <c r="AK37" s="26">
        <v>0</v>
      </c>
      <c r="AL37" s="26"/>
      <c r="AM37" s="26">
        <v>0</v>
      </c>
      <c r="AN37" s="26"/>
      <c r="AO37" s="26">
        <v>0</v>
      </c>
      <c r="AP37" s="26">
        <v>0</v>
      </c>
      <c r="AQ37" s="26">
        <v>0</v>
      </c>
      <c r="AR37" s="26"/>
      <c r="AS37" s="26">
        <v>36800</v>
      </c>
      <c r="AT37" s="60">
        <f t="shared" si="2"/>
        <v>36800</v>
      </c>
      <c r="AU37" s="23">
        <f t="shared" si="3"/>
        <v>1.336090447949919E-2</v>
      </c>
    </row>
    <row r="38" spans="1:48" x14ac:dyDescent="0.2">
      <c r="A38" s="2" t="s">
        <v>61</v>
      </c>
      <c r="B38" s="26">
        <v>0</v>
      </c>
      <c r="C38" s="26">
        <v>0</v>
      </c>
      <c r="D38" s="26">
        <v>0</v>
      </c>
      <c r="E38" s="26">
        <v>0</v>
      </c>
      <c r="F38" s="26">
        <v>0</v>
      </c>
      <c r="G38" s="26">
        <v>0</v>
      </c>
      <c r="H38" s="26"/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/>
      <c r="O38" s="26"/>
      <c r="P38" s="26"/>
      <c r="Q38" s="26"/>
      <c r="R38" s="26">
        <v>0</v>
      </c>
      <c r="S38" s="26">
        <v>0</v>
      </c>
      <c r="T38" s="26">
        <v>0</v>
      </c>
      <c r="U38" s="26"/>
      <c r="V38" s="26">
        <v>0</v>
      </c>
      <c r="W38" s="26"/>
      <c r="X38" s="26"/>
      <c r="Y38" s="26"/>
      <c r="Z38" s="26">
        <v>0</v>
      </c>
      <c r="AA38" s="26">
        <v>0</v>
      </c>
      <c r="AB38" s="26"/>
      <c r="AC38" s="26">
        <v>0</v>
      </c>
      <c r="AD38" s="26">
        <v>0</v>
      </c>
      <c r="AE38" s="26">
        <v>0</v>
      </c>
      <c r="AF38" s="26">
        <v>0</v>
      </c>
      <c r="AG38" s="26"/>
      <c r="AH38" s="26">
        <v>0</v>
      </c>
      <c r="AI38" s="26">
        <v>0</v>
      </c>
      <c r="AJ38" s="26"/>
      <c r="AK38" s="26">
        <v>0</v>
      </c>
      <c r="AL38" s="26"/>
      <c r="AM38" s="26">
        <v>0</v>
      </c>
      <c r="AN38" s="26"/>
      <c r="AO38" s="26">
        <v>0</v>
      </c>
      <c r="AP38" s="26">
        <v>0</v>
      </c>
      <c r="AQ38" s="26">
        <v>0</v>
      </c>
      <c r="AR38" s="26"/>
      <c r="AS38" s="26">
        <v>0</v>
      </c>
      <c r="AT38" s="60">
        <f t="shared" si="2"/>
        <v>0</v>
      </c>
      <c r="AU38" s="23">
        <f t="shared" si="3"/>
        <v>0</v>
      </c>
    </row>
    <row r="39" spans="1:48" x14ac:dyDescent="0.2">
      <c r="A39" s="76" t="s">
        <v>105</v>
      </c>
      <c r="B39" s="26">
        <v>0</v>
      </c>
      <c r="C39" s="26">
        <v>0</v>
      </c>
      <c r="D39" s="26">
        <v>0</v>
      </c>
      <c r="E39" s="26">
        <v>0</v>
      </c>
      <c r="F39" s="26">
        <v>0</v>
      </c>
      <c r="G39" s="26">
        <v>0</v>
      </c>
      <c r="H39" s="26"/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/>
      <c r="O39" s="26"/>
      <c r="P39" s="26"/>
      <c r="Q39" s="26"/>
      <c r="R39" s="26">
        <v>0</v>
      </c>
      <c r="S39" s="26">
        <v>0</v>
      </c>
      <c r="T39" s="26">
        <v>0</v>
      </c>
      <c r="U39" s="26"/>
      <c r="V39" s="26">
        <v>0</v>
      </c>
      <c r="W39" s="26"/>
      <c r="X39" s="26"/>
      <c r="Y39" s="26"/>
      <c r="Z39" s="26">
        <v>0</v>
      </c>
      <c r="AA39" s="26">
        <v>0</v>
      </c>
      <c r="AB39" s="26"/>
      <c r="AC39" s="26">
        <v>0</v>
      </c>
      <c r="AD39" s="26">
        <v>0</v>
      </c>
      <c r="AE39" s="26">
        <v>0</v>
      </c>
      <c r="AF39" s="26">
        <v>0</v>
      </c>
      <c r="AG39" s="26"/>
      <c r="AH39" s="26">
        <v>0</v>
      </c>
      <c r="AI39" s="26">
        <v>0</v>
      </c>
      <c r="AJ39" s="26"/>
      <c r="AK39" s="26">
        <v>0</v>
      </c>
      <c r="AL39" s="26"/>
      <c r="AM39" s="26">
        <v>0</v>
      </c>
      <c r="AN39" s="26"/>
      <c r="AO39" s="26">
        <v>0</v>
      </c>
      <c r="AP39" s="26">
        <v>3216</v>
      </c>
      <c r="AQ39" s="26">
        <v>0</v>
      </c>
      <c r="AR39" s="26"/>
      <c r="AS39" s="26">
        <v>6500</v>
      </c>
      <c r="AT39" s="60">
        <f t="shared" si="2"/>
        <v>9716</v>
      </c>
      <c r="AU39" s="23">
        <f t="shared" si="3"/>
        <v>3.527569237032993E-3</v>
      </c>
    </row>
    <row r="40" spans="1:48" x14ac:dyDescent="0.2">
      <c r="A40" s="2" t="s">
        <v>62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/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/>
      <c r="O40" s="26"/>
      <c r="P40" s="26"/>
      <c r="Q40" s="26"/>
      <c r="R40" s="26">
        <v>0</v>
      </c>
      <c r="S40" s="26">
        <v>0</v>
      </c>
      <c r="T40" s="26">
        <v>0</v>
      </c>
      <c r="U40" s="26"/>
      <c r="V40" s="26">
        <v>0</v>
      </c>
      <c r="W40" s="26"/>
      <c r="X40" s="26"/>
      <c r="Y40" s="26"/>
      <c r="Z40" s="26">
        <v>0</v>
      </c>
      <c r="AA40" s="26">
        <v>0</v>
      </c>
      <c r="AB40" s="26"/>
      <c r="AC40" s="26">
        <v>0</v>
      </c>
      <c r="AD40" s="26">
        <v>0</v>
      </c>
      <c r="AE40" s="26">
        <v>0</v>
      </c>
      <c r="AF40" s="26">
        <v>0</v>
      </c>
      <c r="AG40" s="26"/>
      <c r="AH40" s="26">
        <v>0</v>
      </c>
      <c r="AI40" s="26">
        <v>0</v>
      </c>
      <c r="AJ40" s="26"/>
      <c r="AK40" s="26">
        <v>0</v>
      </c>
      <c r="AL40" s="26"/>
      <c r="AM40" s="26">
        <v>0</v>
      </c>
      <c r="AN40" s="26"/>
      <c r="AO40" s="26">
        <v>0</v>
      </c>
      <c r="AP40" s="26">
        <v>0</v>
      </c>
      <c r="AQ40" s="26">
        <v>0</v>
      </c>
      <c r="AR40" s="26"/>
      <c r="AS40" s="26">
        <v>565000</v>
      </c>
      <c r="AT40" s="60">
        <f t="shared" si="2"/>
        <v>565000</v>
      </c>
      <c r="AU40" s="23">
        <f t="shared" si="3"/>
        <v>0.20513345192709356</v>
      </c>
      <c r="AV40" s="2" t="s">
        <v>68</v>
      </c>
    </row>
    <row r="41" spans="1:48" x14ac:dyDescent="0.2">
      <c r="A41" s="2" t="s">
        <v>63</v>
      </c>
      <c r="B41" s="26">
        <v>0</v>
      </c>
      <c r="C41" s="26">
        <v>0</v>
      </c>
      <c r="D41" s="26">
        <v>0</v>
      </c>
      <c r="E41" s="26">
        <v>0</v>
      </c>
      <c r="F41" s="26">
        <v>0</v>
      </c>
      <c r="G41" s="26">
        <v>0</v>
      </c>
      <c r="H41" s="26"/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/>
      <c r="O41" s="26"/>
      <c r="P41" s="26"/>
      <c r="Q41" s="26"/>
      <c r="R41" s="26">
        <v>0</v>
      </c>
      <c r="S41" s="26">
        <v>0</v>
      </c>
      <c r="T41" s="26">
        <v>0</v>
      </c>
      <c r="U41" s="26"/>
      <c r="V41" s="26">
        <v>0</v>
      </c>
      <c r="W41" s="26"/>
      <c r="X41" s="26"/>
      <c r="Y41" s="26"/>
      <c r="Z41" s="26">
        <v>0</v>
      </c>
      <c r="AA41" s="26">
        <v>0</v>
      </c>
      <c r="AB41" s="26"/>
      <c r="AC41" s="26">
        <v>0</v>
      </c>
      <c r="AD41" s="26">
        <v>0</v>
      </c>
      <c r="AE41" s="26">
        <v>0</v>
      </c>
      <c r="AF41" s="26">
        <v>0</v>
      </c>
      <c r="AG41" s="26"/>
      <c r="AH41" s="26">
        <v>0</v>
      </c>
      <c r="AI41" s="26">
        <v>0</v>
      </c>
      <c r="AJ41" s="26"/>
      <c r="AK41" s="26">
        <v>0</v>
      </c>
      <c r="AL41" s="26"/>
      <c r="AM41" s="26">
        <v>0</v>
      </c>
      <c r="AN41" s="26"/>
      <c r="AO41" s="26">
        <v>0</v>
      </c>
      <c r="AP41" s="26">
        <v>0</v>
      </c>
      <c r="AQ41" s="26">
        <v>0</v>
      </c>
      <c r="AR41" s="26"/>
      <c r="AS41" s="26">
        <v>594</v>
      </c>
      <c r="AT41" s="60">
        <f t="shared" si="2"/>
        <v>594</v>
      </c>
      <c r="AU41" s="23">
        <f t="shared" si="3"/>
        <v>2.1566242556582933E-4</v>
      </c>
    </row>
    <row r="42" spans="1:48" x14ac:dyDescent="0.2">
      <c r="A42" s="2" t="s">
        <v>81</v>
      </c>
      <c r="B42" s="26">
        <v>84.399999999999977</v>
      </c>
      <c r="C42" s="26">
        <v>140.09000000000003</v>
      </c>
      <c r="D42" s="26">
        <v>0</v>
      </c>
      <c r="E42" s="26">
        <v>162.67000000000007</v>
      </c>
      <c r="F42" s="26">
        <v>60.910000000000004</v>
      </c>
      <c r="G42" s="26">
        <v>119.77999999999997</v>
      </c>
      <c r="H42" s="26"/>
      <c r="I42" s="26">
        <v>171.34000000000003</v>
      </c>
      <c r="J42" s="26">
        <v>113.97000000000003</v>
      </c>
      <c r="K42" s="26">
        <v>0</v>
      </c>
      <c r="L42" s="26">
        <v>129.61000000000001</v>
      </c>
      <c r="M42" s="26">
        <v>135.8599999999999</v>
      </c>
      <c r="N42" s="26"/>
      <c r="O42" s="26"/>
      <c r="P42" s="26"/>
      <c r="Q42" s="26"/>
      <c r="R42" s="26">
        <v>143.92000000000007</v>
      </c>
      <c r="S42" s="26">
        <v>139.26999999999998</v>
      </c>
      <c r="T42" s="26">
        <v>127.92999999999995</v>
      </c>
      <c r="U42" s="26"/>
      <c r="V42" s="26">
        <v>51.46999999999997</v>
      </c>
      <c r="W42" s="26"/>
      <c r="X42" s="26"/>
      <c r="Y42" s="26"/>
      <c r="Z42" s="26">
        <v>0</v>
      </c>
      <c r="AA42" s="26">
        <v>143.75</v>
      </c>
      <c r="AB42" s="26"/>
      <c r="AC42" s="26">
        <v>156.17000000000007</v>
      </c>
      <c r="AD42" s="26">
        <v>97.5</v>
      </c>
      <c r="AE42" s="26">
        <v>0</v>
      </c>
      <c r="AF42" s="26">
        <v>128.88</v>
      </c>
      <c r="AG42" s="26"/>
      <c r="AH42" s="26">
        <v>284.82999999999993</v>
      </c>
      <c r="AI42" s="26">
        <v>131.62000000000012</v>
      </c>
      <c r="AJ42" s="26"/>
      <c r="AK42" s="26">
        <v>132.03000000000009</v>
      </c>
      <c r="AL42" s="26"/>
      <c r="AM42" s="26"/>
      <c r="AN42" s="26"/>
      <c r="AO42" s="26">
        <v>69.769999999999982</v>
      </c>
      <c r="AP42" s="26">
        <v>0</v>
      </c>
      <c r="AQ42" s="26">
        <v>0</v>
      </c>
      <c r="AR42" s="26"/>
      <c r="AS42" s="26">
        <v>78.06</v>
      </c>
      <c r="AT42" s="60">
        <f t="shared" si="2"/>
        <v>2803.8300000000004</v>
      </c>
      <c r="AU42" s="23">
        <f t="shared" si="3"/>
        <v>1.0179811088791909E-3</v>
      </c>
    </row>
    <row r="43" spans="1:48" x14ac:dyDescent="0.2">
      <c r="A43" s="2" t="s">
        <v>64</v>
      </c>
      <c r="B43" s="26">
        <v>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/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/>
      <c r="O43" s="26"/>
      <c r="P43" s="26"/>
      <c r="Q43" s="26"/>
      <c r="R43" s="26">
        <v>0</v>
      </c>
      <c r="S43" s="26">
        <v>0</v>
      </c>
      <c r="T43" s="26">
        <v>0</v>
      </c>
      <c r="U43" s="26"/>
      <c r="V43" s="26">
        <v>0</v>
      </c>
      <c r="W43" s="26"/>
      <c r="X43" s="26"/>
      <c r="Y43" s="26"/>
      <c r="Z43" s="26">
        <v>0</v>
      </c>
      <c r="AA43" s="26">
        <v>0</v>
      </c>
      <c r="AB43" s="26"/>
      <c r="AC43" s="26">
        <v>0</v>
      </c>
      <c r="AD43" s="26">
        <v>0</v>
      </c>
      <c r="AE43" s="26">
        <v>0</v>
      </c>
      <c r="AF43" s="26">
        <v>0</v>
      </c>
      <c r="AG43" s="26"/>
      <c r="AH43" s="26">
        <v>0</v>
      </c>
      <c r="AI43" s="26">
        <v>0</v>
      </c>
      <c r="AJ43" s="26"/>
      <c r="AK43" s="26">
        <v>0</v>
      </c>
      <c r="AL43" s="26"/>
      <c r="AM43" s="26"/>
      <c r="AN43" s="26"/>
      <c r="AO43" s="26">
        <v>0</v>
      </c>
      <c r="AP43" s="26">
        <v>0</v>
      </c>
      <c r="AQ43" s="26">
        <v>0</v>
      </c>
      <c r="AR43" s="26"/>
      <c r="AS43" s="26">
        <v>79194.16</v>
      </c>
      <c r="AT43" s="60">
        <f t="shared" si="2"/>
        <v>79194.16</v>
      </c>
      <c r="AU43" s="23">
        <f t="shared" si="3"/>
        <v>2.8752869757993904E-2</v>
      </c>
    </row>
    <row r="44" spans="1:48" x14ac:dyDescent="0.2">
      <c r="A44" s="2" t="s">
        <v>66</v>
      </c>
      <c r="B44" s="26">
        <v>0</v>
      </c>
      <c r="C44" s="26">
        <v>0</v>
      </c>
      <c r="D44" s="26">
        <v>0</v>
      </c>
      <c r="E44" s="26">
        <v>0</v>
      </c>
      <c r="F44" s="26">
        <v>300</v>
      </c>
      <c r="G44" s="26">
        <v>0</v>
      </c>
      <c r="H44" s="26"/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/>
      <c r="O44" s="26"/>
      <c r="P44" s="26"/>
      <c r="Q44" s="26"/>
      <c r="R44" s="26">
        <v>0</v>
      </c>
      <c r="S44" s="26">
        <v>0</v>
      </c>
      <c r="T44" s="26">
        <v>0</v>
      </c>
      <c r="U44" s="26"/>
      <c r="V44" s="26">
        <v>0</v>
      </c>
      <c r="W44" s="26"/>
      <c r="X44" s="26"/>
      <c r="Y44" s="26"/>
      <c r="Z44" s="26">
        <v>0</v>
      </c>
      <c r="AA44" s="26">
        <v>0</v>
      </c>
      <c r="AB44" s="26"/>
      <c r="AC44" s="26">
        <v>0</v>
      </c>
      <c r="AD44" s="26">
        <v>0</v>
      </c>
      <c r="AE44" s="26">
        <v>0</v>
      </c>
      <c r="AF44" s="26">
        <v>0</v>
      </c>
      <c r="AG44" s="26"/>
      <c r="AH44" s="26">
        <v>845</v>
      </c>
      <c r="AI44" s="26">
        <v>0</v>
      </c>
      <c r="AJ44" s="26"/>
      <c r="AK44" s="26">
        <v>0</v>
      </c>
      <c r="AL44" s="26"/>
      <c r="AM44" s="26"/>
      <c r="AN44" s="26"/>
      <c r="AO44" s="26">
        <v>0</v>
      </c>
      <c r="AP44" s="26">
        <v>175</v>
      </c>
      <c r="AQ44" s="26">
        <v>232</v>
      </c>
      <c r="AR44" s="26"/>
      <c r="AS44" s="26">
        <v>11072.57</v>
      </c>
      <c r="AT44" s="60">
        <f t="shared" si="2"/>
        <v>12624.57</v>
      </c>
      <c r="AU44" s="23">
        <f t="shared" si="3"/>
        <v>4.5835780941508447E-3</v>
      </c>
    </row>
    <row r="45" spans="1:48" ht="12.75" thickBot="1" x14ac:dyDescent="0.25">
      <c r="A45" s="14" t="s">
        <v>67</v>
      </c>
      <c r="B45" s="27">
        <f>SUM(B15:B44)</f>
        <v>155443.87000000011</v>
      </c>
      <c r="C45" s="27">
        <f t="shared" ref="C45:AS45" si="4">SUM(C15:C44)</f>
        <v>511.71000000000049</v>
      </c>
      <c r="D45" s="27">
        <f t="shared" si="4"/>
        <v>37020.860000000008</v>
      </c>
      <c r="E45" s="27">
        <f t="shared" si="4"/>
        <v>61200.35</v>
      </c>
      <c r="F45" s="27">
        <f t="shared" si="4"/>
        <v>149774.53000000003</v>
      </c>
      <c r="G45" s="27">
        <f t="shared" si="4"/>
        <v>38332.400000000001</v>
      </c>
      <c r="H45" s="27">
        <f t="shared" si="4"/>
        <v>0</v>
      </c>
      <c r="I45" s="27">
        <f t="shared" si="4"/>
        <v>221870.87999999995</v>
      </c>
      <c r="J45" s="27">
        <f t="shared" si="4"/>
        <v>84665.199999999881</v>
      </c>
      <c r="K45" s="27">
        <f t="shared" si="4"/>
        <v>11899.83</v>
      </c>
      <c r="L45" s="27">
        <f t="shared" si="4"/>
        <v>47932.199999999975</v>
      </c>
      <c r="M45" s="27">
        <f t="shared" si="4"/>
        <v>42944.270000000019</v>
      </c>
      <c r="N45" s="27">
        <f t="shared" si="4"/>
        <v>0</v>
      </c>
      <c r="O45" s="27">
        <f t="shared" si="4"/>
        <v>0</v>
      </c>
      <c r="P45" s="27">
        <f t="shared" si="4"/>
        <v>0</v>
      </c>
      <c r="Q45" s="27">
        <f t="shared" si="4"/>
        <v>0</v>
      </c>
      <c r="R45" s="27">
        <f t="shared" si="4"/>
        <v>46803.189999999915</v>
      </c>
      <c r="S45" s="27">
        <f t="shared" si="4"/>
        <v>43667.500000000007</v>
      </c>
      <c r="T45" s="27">
        <f t="shared" si="4"/>
        <v>28909.279999999999</v>
      </c>
      <c r="U45" s="27">
        <f t="shared" si="4"/>
        <v>0</v>
      </c>
      <c r="V45" s="27">
        <f t="shared" si="4"/>
        <v>38261.920000000013</v>
      </c>
      <c r="W45" s="27">
        <f t="shared" si="4"/>
        <v>0</v>
      </c>
      <c r="X45" s="27">
        <f t="shared" si="4"/>
        <v>0</v>
      </c>
      <c r="Y45" s="27">
        <f t="shared" si="4"/>
        <v>0</v>
      </c>
      <c r="Z45" s="27">
        <f t="shared" si="4"/>
        <v>23636.25</v>
      </c>
      <c r="AA45" s="27">
        <f t="shared" si="4"/>
        <v>24594.45</v>
      </c>
      <c r="AB45" s="27">
        <f t="shared" si="4"/>
        <v>0</v>
      </c>
      <c r="AC45" s="27">
        <f t="shared" si="4"/>
        <v>47453.08</v>
      </c>
      <c r="AD45" s="27">
        <f t="shared" si="4"/>
        <v>24377.499999999989</v>
      </c>
      <c r="AE45" s="27">
        <f t="shared" si="4"/>
        <v>12152.1</v>
      </c>
      <c r="AF45" s="27">
        <f t="shared" si="4"/>
        <v>35496.629999999997</v>
      </c>
      <c r="AG45" s="27">
        <f t="shared" si="4"/>
        <v>0</v>
      </c>
      <c r="AH45" s="27">
        <f t="shared" si="4"/>
        <v>177610.16</v>
      </c>
      <c r="AI45" s="27">
        <f t="shared" si="4"/>
        <v>13198.929999999995</v>
      </c>
      <c r="AJ45" s="27">
        <f t="shared" si="4"/>
        <v>0</v>
      </c>
      <c r="AK45" s="27">
        <f t="shared" si="4"/>
        <v>26324.61</v>
      </c>
      <c r="AL45" s="27">
        <f>SUM(AL15:AL44)</f>
        <v>0</v>
      </c>
      <c r="AM45" s="27">
        <f>SUM(AM15:AM44)</f>
        <v>22411.569999999996</v>
      </c>
      <c r="AN45" s="27">
        <f t="shared" ref="AN45:AR45" si="5">SUM(AN15:AN44)</f>
        <v>0</v>
      </c>
      <c r="AO45" s="27">
        <f t="shared" si="5"/>
        <v>11882.650000000001</v>
      </c>
      <c r="AP45" s="27">
        <f t="shared" si="5"/>
        <v>98057.129999999888</v>
      </c>
      <c r="AQ45" s="27">
        <f t="shared" si="5"/>
        <v>12387.900000000001</v>
      </c>
      <c r="AR45" s="27">
        <f t="shared" si="5"/>
        <v>0</v>
      </c>
      <c r="AS45" s="27">
        <f t="shared" si="4"/>
        <v>1215483.6000000001</v>
      </c>
      <c r="AT45" s="27">
        <f>SUM(AT15:AT44)</f>
        <v>2754304.55</v>
      </c>
      <c r="AU45" s="10">
        <f>SUM(AU15:AU44)</f>
        <v>0.99999999999999989</v>
      </c>
      <c r="AV45" s="53"/>
    </row>
    <row r="46" spans="1:48" ht="12.75" thickTop="1" x14ac:dyDescent="0.2">
      <c r="D46" s="2" t="s">
        <v>68</v>
      </c>
      <c r="E46" s="2" t="s">
        <v>68</v>
      </c>
      <c r="F46" s="2" t="s">
        <v>68</v>
      </c>
      <c r="G46" s="2" t="s">
        <v>68</v>
      </c>
      <c r="H46" s="2" t="s">
        <v>68</v>
      </c>
      <c r="I46" s="2" t="s">
        <v>68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68</v>
      </c>
      <c r="Q46" s="2" t="s">
        <v>68</v>
      </c>
      <c r="R46" s="2" t="s">
        <v>68</v>
      </c>
      <c r="S46" s="2" t="s">
        <v>68</v>
      </c>
      <c r="AT46" s="29" t="s">
        <v>68</v>
      </c>
    </row>
    <row r="47" spans="1:48" ht="12.75" thickBot="1" x14ac:dyDescent="0.25">
      <c r="A47" s="14" t="s">
        <v>69</v>
      </c>
      <c r="B47" s="14">
        <f>+B13-B45</f>
        <v>157556.12999999989</v>
      </c>
      <c r="C47" s="14">
        <f t="shared" ref="C47:Z47" si="6">+C13-C45</f>
        <v>104988.29</v>
      </c>
      <c r="D47" s="14">
        <f t="shared" si="6"/>
        <v>19729.139999999992</v>
      </c>
      <c r="E47" s="14">
        <f t="shared" si="6"/>
        <v>46449.65</v>
      </c>
      <c r="F47" s="14">
        <f t="shared" si="6"/>
        <v>123125.46999999997</v>
      </c>
      <c r="G47" s="14">
        <f>+G13-G45</f>
        <v>20417.599999999999</v>
      </c>
      <c r="H47" s="14">
        <f t="shared" si="6"/>
        <v>0</v>
      </c>
      <c r="I47" s="14">
        <f t="shared" si="6"/>
        <v>243029.12000000005</v>
      </c>
      <c r="J47" s="14">
        <f t="shared" si="6"/>
        <v>103091.71000000004</v>
      </c>
      <c r="K47" s="14">
        <f t="shared" si="6"/>
        <v>7100.17</v>
      </c>
      <c r="L47" s="14">
        <f t="shared" si="6"/>
        <v>40367.800000000025</v>
      </c>
      <c r="M47" s="14">
        <f t="shared" si="6"/>
        <v>32255.729999999981</v>
      </c>
      <c r="N47" s="14">
        <f t="shared" si="6"/>
        <v>0</v>
      </c>
      <c r="O47" s="14">
        <f t="shared" si="6"/>
        <v>0</v>
      </c>
      <c r="P47" s="14">
        <f t="shared" si="6"/>
        <v>0</v>
      </c>
      <c r="Q47" s="14">
        <f t="shared" si="6"/>
        <v>0</v>
      </c>
      <c r="R47" s="14">
        <f t="shared" si="6"/>
        <v>50946.810000000085</v>
      </c>
      <c r="S47" s="14">
        <f t="shared" si="6"/>
        <v>54582.499999999993</v>
      </c>
      <c r="T47" s="14">
        <f t="shared" si="6"/>
        <v>26840.720000000001</v>
      </c>
      <c r="U47" s="14">
        <f t="shared" si="6"/>
        <v>0</v>
      </c>
      <c r="V47" s="14">
        <f t="shared" si="6"/>
        <v>15738.079999999987</v>
      </c>
      <c r="W47" s="14">
        <f t="shared" si="6"/>
        <v>0</v>
      </c>
      <c r="X47" s="14">
        <f t="shared" si="6"/>
        <v>0</v>
      </c>
      <c r="Y47" s="14">
        <f>+Y13-Y45</f>
        <v>0</v>
      </c>
      <c r="Z47" s="14">
        <f t="shared" si="6"/>
        <v>12363.75</v>
      </c>
      <c r="AA47" s="14">
        <f>+AA13-AA45</f>
        <v>13405.55</v>
      </c>
      <c r="AB47" s="14">
        <f>+AB13-AB45</f>
        <v>0</v>
      </c>
      <c r="AC47" s="14">
        <f>+AC13-AC45</f>
        <v>39046.92</v>
      </c>
      <c r="AD47" s="14">
        <f>+AD13-AD45</f>
        <v>13622.500000000011</v>
      </c>
      <c r="AE47" s="14">
        <f t="shared" ref="AE47:AJ47" si="7">+AE13-AE45</f>
        <v>7347.9</v>
      </c>
      <c r="AF47" s="14">
        <f t="shared" si="7"/>
        <v>49003.37</v>
      </c>
      <c r="AG47" s="14">
        <f t="shared" si="7"/>
        <v>0</v>
      </c>
      <c r="AH47" s="14">
        <f t="shared" si="7"/>
        <v>93889.84</v>
      </c>
      <c r="AI47" s="14">
        <f t="shared" si="7"/>
        <v>42551.070000000007</v>
      </c>
      <c r="AJ47" s="14">
        <f t="shared" si="7"/>
        <v>0</v>
      </c>
      <c r="AK47" s="14">
        <f>+AK13-AK45</f>
        <v>30875.39</v>
      </c>
      <c r="AL47" s="14">
        <f>+AL13-AL45</f>
        <v>0</v>
      </c>
      <c r="AM47" s="14">
        <f>+AM13-AM45</f>
        <v>18588.430000000004</v>
      </c>
      <c r="AN47" s="14">
        <f t="shared" ref="AN47:AS47" si="8">+AN13-AN45</f>
        <v>38000</v>
      </c>
      <c r="AO47" s="14">
        <f t="shared" si="8"/>
        <v>6617.3499999999985</v>
      </c>
      <c r="AP47" s="14">
        <f t="shared" si="8"/>
        <v>133942.86999999988</v>
      </c>
      <c r="AQ47" s="14">
        <f t="shared" si="8"/>
        <v>6312.0999999999985</v>
      </c>
      <c r="AR47" s="14">
        <f t="shared" si="8"/>
        <v>2900</v>
      </c>
      <c r="AS47" s="14">
        <f t="shared" si="8"/>
        <v>-1215483.6000000001</v>
      </c>
      <c r="AT47" s="14">
        <f>SUM(B47:AS47)</f>
        <v>339202.35999999987</v>
      </c>
      <c r="AU47" s="39"/>
    </row>
    <row r="48" spans="1:48" ht="12.75" thickTop="1" x14ac:dyDescent="0.2"/>
    <row r="49" spans="1:47" x14ac:dyDescent="0.2">
      <c r="A49" s="2" t="s">
        <v>70</v>
      </c>
      <c r="B49" s="2">
        <f>28225+21900</f>
        <v>50125</v>
      </c>
      <c r="C49" s="2">
        <f>4850+18000</f>
        <v>22850</v>
      </c>
      <c r="D49" s="2">
        <f>1800+300</f>
        <v>2100</v>
      </c>
      <c r="E49" s="2">
        <f>8050+1200</f>
        <v>9250</v>
      </c>
      <c r="F49" s="2">
        <f>24475+12300</f>
        <v>36775</v>
      </c>
      <c r="G49" s="2">
        <f>2600+300</f>
        <v>2900</v>
      </c>
      <c r="I49" s="2">
        <f>45475+13200</f>
        <v>58675</v>
      </c>
      <c r="J49" s="2">
        <f>24735.41+24000</f>
        <v>48735.41</v>
      </c>
      <c r="L49" s="2">
        <f>11850+300</f>
        <v>12150</v>
      </c>
      <c r="M49" s="2">
        <f>2850+1200</f>
        <v>4050</v>
      </c>
      <c r="R49" s="2">
        <f>12100+11400</f>
        <v>23500</v>
      </c>
      <c r="S49" s="2">
        <f>10260+5700</f>
        <v>15960</v>
      </c>
      <c r="T49" s="2">
        <f>5550+3000</f>
        <v>8550</v>
      </c>
      <c r="V49" s="2">
        <f>350+300</f>
        <v>650</v>
      </c>
      <c r="Z49" s="2">
        <v>700</v>
      </c>
      <c r="AA49" s="2">
        <f>5250+4200</f>
        <v>9450</v>
      </c>
      <c r="AC49" s="2">
        <f>9100+3000</f>
        <v>12100</v>
      </c>
      <c r="AD49" s="2">
        <v>3550</v>
      </c>
      <c r="AF49" s="2">
        <f>8475+12900</f>
        <v>21375</v>
      </c>
      <c r="AH49" s="2">
        <f>22775+12300</f>
        <v>35075</v>
      </c>
      <c r="AI49" s="2">
        <f>4650+8100</f>
        <v>12750</v>
      </c>
      <c r="AK49" s="2">
        <f>3600+4800</f>
        <v>8400</v>
      </c>
      <c r="AM49" s="2">
        <f>2050+900</f>
        <v>2950</v>
      </c>
      <c r="AN49" s="2">
        <v>18600</v>
      </c>
      <c r="AO49" s="2">
        <v>250</v>
      </c>
      <c r="AP49" s="2">
        <f>19050+30900</f>
        <v>49950</v>
      </c>
      <c r="AQ49" s="2">
        <v>650</v>
      </c>
      <c r="AS49" s="2">
        <v>7487.5</v>
      </c>
      <c r="AT49" s="29">
        <f>SUM(B49:AS49)</f>
        <v>479557.91000000003</v>
      </c>
      <c r="AU49" s="2"/>
    </row>
    <row r="50" spans="1:47" s="25" customFormat="1" x14ac:dyDescent="0.2">
      <c r="A50" s="37" t="s">
        <v>71</v>
      </c>
      <c r="B50" s="37">
        <f>+B47-B49</f>
        <v>107431.12999999989</v>
      </c>
      <c r="C50" s="37">
        <f t="shared" ref="C50:AS50" si="9">+C47-C49</f>
        <v>82138.289999999994</v>
      </c>
      <c r="D50" s="37">
        <f t="shared" si="9"/>
        <v>17629.139999999992</v>
      </c>
      <c r="E50" s="37">
        <f t="shared" si="9"/>
        <v>37199.65</v>
      </c>
      <c r="F50" s="37">
        <f t="shared" si="9"/>
        <v>86350.469999999972</v>
      </c>
      <c r="G50" s="37">
        <f t="shared" si="9"/>
        <v>17517.599999999999</v>
      </c>
      <c r="H50" s="37">
        <f t="shared" si="9"/>
        <v>0</v>
      </c>
      <c r="I50" s="37">
        <f t="shared" si="9"/>
        <v>184354.12000000005</v>
      </c>
      <c r="J50" s="37">
        <f t="shared" si="9"/>
        <v>54356.300000000032</v>
      </c>
      <c r="K50" s="37">
        <f t="shared" si="9"/>
        <v>7100.17</v>
      </c>
      <c r="L50" s="37">
        <f t="shared" si="9"/>
        <v>28217.800000000025</v>
      </c>
      <c r="M50" s="37">
        <f t="shared" si="9"/>
        <v>28205.729999999981</v>
      </c>
      <c r="N50" s="37">
        <f t="shared" si="9"/>
        <v>0</v>
      </c>
      <c r="O50" s="37">
        <f t="shared" si="9"/>
        <v>0</v>
      </c>
      <c r="P50" s="37">
        <f t="shared" si="9"/>
        <v>0</v>
      </c>
      <c r="Q50" s="37">
        <f t="shared" si="9"/>
        <v>0</v>
      </c>
      <c r="R50" s="37">
        <f t="shared" si="9"/>
        <v>27446.810000000085</v>
      </c>
      <c r="S50" s="37">
        <f t="shared" si="9"/>
        <v>38622.499999999993</v>
      </c>
      <c r="T50" s="37">
        <f t="shared" si="9"/>
        <v>18290.72</v>
      </c>
      <c r="U50" s="37">
        <f t="shared" si="9"/>
        <v>0</v>
      </c>
      <c r="V50" s="37">
        <f t="shared" si="9"/>
        <v>15088.079999999987</v>
      </c>
      <c r="W50" s="37">
        <f t="shared" si="9"/>
        <v>0</v>
      </c>
      <c r="X50" s="37">
        <f t="shared" si="9"/>
        <v>0</v>
      </c>
      <c r="Y50" s="37">
        <f t="shared" si="9"/>
        <v>0</v>
      </c>
      <c r="Z50" s="37">
        <f t="shared" si="9"/>
        <v>11663.75</v>
      </c>
      <c r="AA50" s="37">
        <f t="shared" si="9"/>
        <v>3955.5499999999993</v>
      </c>
      <c r="AB50" s="37">
        <f t="shared" si="9"/>
        <v>0</v>
      </c>
      <c r="AC50" s="37">
        <f t="shared" si="9"/>
        <v>26946.92</v>
      </c>
      <c r="AD50" s="37">
        <f t="shared" si="9"/>
        <v>10072.500000000011</v>
      </c>
      <c r="AE50" s="37">
        <f t="shared" si="9"/>
        <v>7347.9</v>
      </c>
      <c r="AF50" s="37">
        <f t="shared" si="9"/>
        <v>27628.370000000003</v>
      </c>
      <c r="AG50" s="37">
        <f t="shared" si="9"/>
        <v>0</v>
      </c>
      <c r="AH50" s="37">
        <f t="shared" si="9"/>
        <v>58814.84</v>
      </c>
      <c r="AI50" s="37">
        <f t="shared" si="9"/>
        <v>29801.070000000007</v>
      </c>
      <c r="AJ50" s="37">
        <f t="shared" si="9"/>
        <v>0</v>
      </c>
      <c r="AK50" s="37">
        <f t="shared" si="9"/>
        <v>22475.39</v>
      </c>
      <c r="AL50" s="37">
        <f t="shared" si="9"/>
        <v>0</v>
      </c>
      <c r="AM50" s="37">
        <f t="shared" si="9"/>
        <v>15638.430000000004</v>
      </c>
      <c r="AN50" s="37">
        <f t="shared" si="9"/>
        <v>19400</v>
      </c>
      <c r="AO50" s="37">
        <f t="shared" si="9"/>
        <v>6367.3499999999985</v>
      </c>
      <c r="AP50" s="37">
        <f t="shared" si="9"/>
        <v>83992.869999999879</v>
      </c>
      <c r="AQ50" s="37">
        <f t="shared" si="9"/>
        <v>5662.0999999999985</v>
      </c>
      <c r="AR50" s="37">
        <f t="shared" si="9"/>
        <v>2900</v>
      </c>
      <c r="AS50" s="37">
        <f t="shared" si="9"/>
        <v>-1222971.1000000001</v>
      </c>
      <c r="AT50" s="38">
        <f>SUM(B50:AS50)-AT53-AT54-AT55+AT56</f>
        <v>248167.46825000015</v>
      </c>
      <c r="AU50" s="40"/>
    </row>
    <row r="51" spans="1:47" x14ac:dyDescent="0.2">
      <c r="AT51" s="18">
        <v>248167.46</v>
      </c>
      <c r="AU51" s="28" t="s">
        <v>72</v>
      </c>
    </row>
    <row r="52" spans="1:47" x14ac:dyDescent="0.2">
      <c r="AT52" s="47">
        <f>+AT50-AT51</f>
        <v>8.2500001590233296E-3</v>
      </c>
      <c r="AU52" s="48" t="s">
        <v>82</v>
      </c>
    </row>
    <row r="53" spans="1:47" x14ac:dyDescent="0.2">
      <c r="A53" s="45" t="s">
        <v>78</v>
      </c>
      <c r="B53" s="45"/>
      <c r="C53" s="45"/>
      <c r="D53" s="45"/>
      <c r="E53" s="45">
        <f>+E50*8.5%</f>
        <v>3161.9702500000003</v>
      </c>
      <c r="F53" s="45"/>
      <c r="G53" s="45">
        <f>+G50*8.5%</f>
        <v>1488.9960000000001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>
        <f>+V50*8.5%</f>
        <v>1282.486799999999</v>
      </c>
      <c r="W53" s="45"/>
      <c r="X53" s="45"/>
      <c r="Y53" s="45"/>
      <c r="Z53" s="45">
        <f>+Z50*8.5%</f>
        <v>991.41875000000005</v>
      </c>
      <c r="AA53" s="45">
        <f>+AA50*8.5%</f>
        <v>336.22174999999999</v>
      </c>
      <c r="AB53" s="45"/>
      <c r="AC53" s="45">
        <f>(AC50-AC54)*8.5%</f>
        <v>2077.9881999999998</v>
      </c>
      <c r="AD53" s="45"/>
      <c r="AE53" s="45"/>
      <c r="AF53" s="45"/>
      <c r="AG53" s="45">
        <f>+AG50*8.5%</f>
        <v>0</v>
      </c>
      <c r="AH53" s="45"/>
      <c r="AI53" s="45"/>
      <c r="AJ53" s="45">
        <f>+AJ50*8.5%</f>
        <v>0</v>
      </c>
      <c r="AK53" s="45"/>
      <c r="AL53" s="45">
        <f>+AL50*8.5%</f>
        <v>0</v>
      </c>
      <c r="AM53" s="45"/>
      <c r="AN53" s="45"/>
      <c r="AO53" s="45"/>
      <c r="AP53" s="45"/>
      <c r="AQ53" s="45"/>
      <c r="AR53" s="45"/>
      <c r="AS53" s="45"/>
      <c r="AT53" s="46">
        <f>SUM(B53:AS53)</f>
        <v>9339.0817499999976</v>
      </c>
    </row>
    <row r="54" spans="1:47" x14ac:dyDescent="0.2">
      <c r="A54" s="45" t="s">
        <v>84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>
        <v>2500</v>
      </c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>
        <v>13537.9</v>
      </c>
      <c r="AT54" s="46">
        <f t="shared" ref="AT54:AT56" si="10">SUM(B54:AS54)</f>
        <v>16037.9</v>
      </c>
    </row>
    <row r="55" spans="1:47" s="1" customFormat="1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50">
        <v>185000</v>
      </c>
      <c r="AT55" s="46">
        <f t="shared" si="10"/>
        <v>185000</v>
      </c>
    </row>
    <row r="56" spans="1:47" s="1" customFormat="1" x14ac:dyDescent="0.2">
      <c r="A56" s="49" t="s">
        <v>86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5">
        <v>598900</v>
      </c>
      <c r="AT56" s="46">
        <f t="shared" si="10"/>
        <v>598900</v>
      </c>
    </row>
    <row r="58" spans="1:47" s="1" customFormat="1" ht="12.75" x14ac:dyDescent="0.2">
      <c r="A58" s="57" t="s">
        <v>92</v>
      </c>
      <c r="B58" s="57">
        <v>15</v>
      </c>
      <c r="C58" s="57">
        <v>6</v>
      </c>
      <c r="D58" s="57">
        <v>3</v>
      </c>
      <c r="E58" s="57">
        <v>5</v>
      </c>
      <c r="F58" s="57">
        <v>14</v>
      </c>
      <c r="G58" s="57">
        <v>3</v>
      </c>
      <c r="H58" s="57"/>
      <c r="I58" s="57">
        <v>24</v>
      </c>
      <c r="J58" s="57">
        <v>11</v>
      </c>
      <c r="K58" s="57">
        <v>2</v>
      </c>
      <c r="L58" s="57">
        <v>5</v>
      </c>
      <c r="M58" s="57">
        <v>3</v>
      </c>
      <c r="N58" s="57"/>
      <c r="O58" s="57"/>
      <c r="P58" s="57"/>
      <c r="Q58" s="57"/>
      <c r="R58" s="57">
        <v>5</v>
      </c>
      <c r="S58" s="57">
        <v>4</v>
      </c>
      <c r="T58" s="57">
        <v>3</v>
      </c>
      <c r="U58" s="57"/>
      <c r="V58" s="57">
        <v>3</v>
      </c>
      <c r="W58" s="57"/>
      <c r="X58" s="57"/>
      <c r="Y58" s="57"/>
      <c r="Z58" s="57">
        <v>2</v>
      </c>
      <c r="AA58" s="57">
        <v>2</v>
      </c>
      <c r="AB58" s="57"/>
      <c r="AC58" s="57">
        <v>6</v>
      </c>
      <c r="AD58" s="57">
        <v>2</v>
      </c>
      <c r="AE58" s="57">
        <v>1</v>
      </c>
      <c r="AF58" s="57">
        <v>5</v>
      </c>
      <c r="AG58" s="57"/>
      <c r="AH58" s="57">
        <v>14</v>
      </c>
      <c r="AI58" s="57">
        <v>3</v>
      </c>
      <c r="AJ58" s="57"/>
      <c r="AK58" s="57">
        <v>3</v>
      </c>
      <c r="AL58" s="57"/>
      <c r="AM58" s="57">
        <v>3</v>
      </c>
      <c r="AN58" s="57">
        <v>2</v>
      </c>
      <c r="AO58" s="57">
        <v>1</v>
      </c>
      <c r="AP58" s="57">
        <v>12</v>
      </c>
      <c r="AQ58" s="57">
        <v>1</v>
      </c>
      <c r="AR58" s="65">
        <f>SUM(A58:AQ58)</f>
        <v>163</v>
      </c>
      <c r="AS58" s="66" t="s">
        <v>103</v>
      </c>
    </row>
    <row r="59" spans="1:47" s="1" customFormat="1" x14ac:dyDescent="0.2">
      <c r="A59" s="57" t="s">
        <v>91</v>
      </c>
      <c r="B59" s="58">
        <f>+B50/B58</f>
        <v>7162.0753333333259</v>
      </c>
      <c r="C59" s="58">
        <f t="shared" ref="C59:AQ59" si="11">+C50/C58</f>
        <v>13689.714999999998</v>
      </c>
      <c r="D59" s="58">
        <f t="shared" si="11"/>
        <v>5876.3799999999974</v>
      </c>
      <c r="E59" s="58">
        <f t="shared" si="11"/>
        <v>7439.93</v>
      </c>
      <c r="F59" s="58">
        <f t="shared" si="11"/>
        <v>6167.8907142857124</v>
      </c>
      <c r="G59" s="58">
        <f t="shared" si="11"/>
        <v>5839.2</v>
      </c>
      <c r="H59" s="58"/>
      <c r="I59" s="58">
        <f t="shared" si="11"/>
        <v>7681.4216666666689</v>
      </c>
      <c r="J59" s="58">
        <f t="shared" si="11"/>
        <v>4941.4818181818209</v>
      </c>
      <c r="K59" s="58">
        <f t="shared" si="11"/>
        <v>3550.085</v>
      </c>
      <c r="L59" s="58">
        <f t="shared" si="11"/>
        <v>5643.5600000000049</v>
      </c>
      <c r="M59" s="58">
        <f>(M50-M9)/M58</f>
        <v>2201.9099999999939</v>
      </c>
      <c r="N59" s="58"/>
      <c r="O59" s="58"/>
      <c r="P59" s="58"/>
      <c r="Q59" s="58"/>
      <c r="R59" s="58">
        <f t="shared" si="11"/>
        <v>5489.3620000000174</v>
      </c>
      <c r="S59" s="58">
        <f t="shared" si="11"/>
        <v>9655.6249999999982</v>
      </c>
      <c r="T59" s="58">
        <f t="shared" si="11"/>
        <v>6096.9066666666668</v>
      </c>
      <c r="U59" s="58"/>
      <c r="V59" s="58">
        <f t="shared" si="11"/>
        <v>5029.359999999996</v>
      </c>
      <c r="W59" s="58"/>
      <c r="X59" s="58"/>
      <c r="Y59" s="58"/>
      <c r="Z59" s="58">
        <f t="shared" si="11"/>
        <v>5831.875</v>
      </c>
      <c r="AA59" s="58">
        <f t="shared" si="11"/>
        <v>1977.7749999999996</v>
      </c>
      <c r="AB59" s="58"/>
      <c r="AC59" s="58">
        <f t="shared" si="11"/>
        <v>4491.1533333333327</v>
      </c>
      <c r="AD59" s="58">
        <f t="shared" si="11"/>
        <v>5036.2500000000055</v>
      </c>
      <c r="AE59" s="58">
        <f t="shared" si="11"/>
        <v>7347.9</v>
      </c>
      <c r="AF59" s="58">
        <f t="shared" si="11"/>
        <v>5525.6740000000009</v>
      </c>
      <c r="AG59" s="58"/>
      <c r="AH59" s="58">
        <f t="shared" si="11"/>
        <v>4201.0599999999995</v>
      </c>
      <c r="AI59" s="58">
        <f t="shared" si="11"/>
        <v>9933.6900000000023</v>
      </c>
      <c r="AJ59" s="58"/>
      <c r="AK59" s="58">
        <f t="shared" si="11"/>
        <v>7491.7966666666662</v>
      </c>
      <c r="AL59" s="58"/>
      <c r="AM59" s="58">
        <f t="shared" si="11"/>
        <v>5212.8100000000013</v>
      </c>
      <c r="AN59" s="58">
        <f t="shared" si="11"/>
        <v>9700</v>
      </c>
      <c r="AO59" s="58">
        <f t="shared" si="11"/>
        <v>6367.3499999999985</v>
      </c>
      <c r="AP59" s="58">
        <f t="shared" si="11"/>
        <v>6999.4058333333232</v>
      </c>
      <c r="AQ59" s="58">
        <f t="shared" si="11"/>
        <v>5662.0999999999985</v>
      </c>
      <c r="AS59" s="32"/>
    </row>
    <row r="60" spans="1:47" s="1" customFormat="1" x14ac:dyDescent="0.2">
      <c r="N60" s="3"/>
      <c r="O60" s="3"/>
      <c r="P60" s="3"/>
      <c r="Q60" s="3"/>
      <c r="R60" s="3"/>
      <c r="S60" s="3"/>
      <c r="T60" s="3"/>
      <c r="U60" s="3"/>
    </row>
    <row r="61" spans="1:47" s="1" customFormat="1" x14ac:dyDescent="0.2">
      <c r="N61" s="3"/>
      <c r="O61" s="3"/>
      <c r="P61" s="3"/>
      <c r="Q61" s="3"/>
      <c r="R61" s="3"/>
      <c r="S61" s="3"/>
      <c r="T61" s="3"/>
      <c r="U61" s="3"/>
    </row>
  </sheetData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1D7F-12D6-4FC8-9BA6-B2916B0BB598}">
  <sheetPr>
    <tabColor rgb="FF7030A0"/>
  </sheetPr>
  <dimension ref="A5:AV61"/>
  <sheetViews>
    <sheetView workbookViewId="0">
      <pane xSplit="1" ySplit="7" topLeftCell="AM8" activePane="bottomRight" state="frozen"/>
      <selection activeCell="D53" sqref="D53"/>
      <selection pane="topRight" activeCell="D53" sqref="D53"/>
      <selection pane="bottomLeft" activeCell="D53" sqref="D53"/>
      <selection pane="bottomRight" activeCell="A2" sqref="A2:A3"/>
    </sheetView>
  </sheetViews>
  <sheetFormatPr baseColWidth="10" defaultColWidth="11.42578125" defaultRowHeight="12" x14ac:dyDescent="0.2"/>
  <cols>
    <col min="1" max="1" width="20.85546875" style="2" customWidth="1"/>
    <col min="2" max="37" width="11.42578125" style="2"/>
    <col min="38" max="38" width="13.85546875" style="2" bestFit="1" customWidth="1"/>
    <col min="39" max="43" width="13.85546875" style="2" customWidth="1"/>
    <col min="44" max="45" width="11.42578125" style="2"/>
    <col min="46" max="46" width="11.42578125" style="29"/>
    <col min="47" max="47" width="11.42578125" style="23"/>
    <col min="48" max="16384" width="11.42578125" style="2"/>
  </cols>
  <sheetData>
    <row r="5" spans="1:48" s="42" customFormat="1" x14ac:dyDescent="0.2">
      <c r="B5" s="42">
        <v>1</v>
      </c>
      <c r="C5" s="42">
        <v>2</v>
      </c>
      <c r="D5" s="42">
        <v>3</v>
      </c>
      <c r="E5" s="42">
        <v>4</v>
      </c>
      <c r="F5" s="42">
        <v>5</v>
      </c>
      <c r="G5" s="42">
        <v>6</v>
      </c>
      <c r="H5" s="42">
        <v>7</v>
      </c>
      <c r="I5" s="42">
        <v>8</v>
      </c>
      <c r="J5" s="42">
        <v>9</v>
      </c>
      <c r="K5" s="42">
        <v>10</v>
      </c>
      <c r="L5" s="42">
        <v>11</v>
      </c>
      <c r="M5" s="42">
        <v>12</v>
      </c>
      <c r="N5" s="42">
        <v>13</v>
      </c>
      <c r="O5" s="42">
        <v>14</v>
      </c>
      <c r="P5" s="42">
        <v>15</v>
      </c>
      <c r="Q5" s="42">
        <v>16</v>
      </c>
      <c r="R5" s="42">
        <v>17</v>
      </c>
      <c r="S5" s="42">
        <v>18</v>
      </c>
      <c r="T5" s="42">
        <v>19</v>
      </c>
      <c r="U5" s="42">
        <v>20</v>
      </c>
      <c r="V5" s="42">
        <v>21</v>
      </c>
      <c r="W5" s="42">
        <v>22</v>
      </c>
      <c r="X5" s="42">
        <v>23</v>
      </c>
      <c r="Y5" s="42">
        <v>24</v>
      </c>
      <c r="Z5" s="42">
        <v>25</v>
      </c>
      <c r="AA5" s="42">
        <v>26</v>
      </c>
      <c r="AB5" s="42">
        <v>27</v>
      </c>
      <c r="AC5" s="42">
        <v>28</v>
      </c>
      <c r="AD5" s="42">
        <v>29</v>
      </c>
      <c r="AE5" s="42">
        <v>30</v>
      </c>
      <c r="AF5" s="42">
        <v>31</v>
      </c>
      <c r="AG5" s="42">
        <v>32</v>
      </c>
      <c r="AH5" s="42">
        <v>33</v>
      </c>
      <c r="AI5" s="42">
        <v>34</v>
      </c>
      <c r="AJ5" s="42">
        <v>35</v>
      </c>
      <c r="AK5" s="42">
        <v>36</v>
      </c>
      <c r="AL5" s="42">
        <v>38</v>
      </c>
      <c r="AM5" s="42">
        <v>39</v>
      </c>
      <c r="AN5" s="42">
        <v>40</v>
      </c>
      <c r="AO5" s="42">
        <v>41</v>
      </c>
      <c r="AP5" s="42">
        <v>42</v>
      </c>
      <c r="AQ5" s="42">
        <v>43</v>
      </c>
      <c r="AR5" s="42">
        <v>44</v>
      </c>
      <c r="AS5" s="42">
        <v>45</v>
      </c>
      <c r="AT5" s="43"/>
      <c r="AU5" s="44"/>
    </row>
    <row r="6" spans="1:48" ht="36" x14ac:dyDescent="0.2">
      <c r="A6" s="35" t="s">
        <v>1</v>
      </c>
      <c r="B6" s="35" t="s">
        <v>2</v>
      </c>
      <c r="C6" s="35" t="s">
        <v>3</v>
      </c>
      <c r="D6" s="35" t="s">
        <v>97</v>
      </c>
      <c r="E6" s="35" t="s">
        <v>4</v>
      </c>
      <c r="F6" s="35" t="s">
        <v>5</v>
      </c>
      <c r="G6" s="35" t="s">
        <v>6</v>
      </c>
      <c r="H6" s="35" t="s">
        <v>73</v>
      </c>
      <c r="I6" s="35" t="s">
        <v>74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14</v>
      </c>
      <c r="R6" s="35" t="s">
        <v>15</v>
      </c>
      <c r="S6" s="35" t="s">
        <v>16</v>
      </c>
      <c r="T6" s="35" t="s">
        <v>17</v>
      </c>
      <c r="U6" s="35" t="s">
        <v>18</v>
      </c>
      <c r="V6" s="36" t="s">
        <v>19</v>
      </c>
      <c r="W6" s="35" t="s">
        <v>20</v>
      </c>
      <c r="X6" s="36" t="s">
        <v>21</v>
      </c>
      <c r="Y6" s="36" t="s">
        <v>22</v>
      </c>
      <c r="Z6" s="36" t="s">
        <v>23</v>
      </c>
      <c r="AA6" s="36" t="s">
        <v>24</v>
      </c>
      <c r="AB6" s="36" t="s">
        <v>25</v>
      </c>
      <c r="AC6" s="35" t="s">
        <v>26</v>
      </c>
      <c r="AD6" s="36" t="s">
        <v>27</v>
      </c>
      <c r="AE6" s="36" t="s">
        <v>28</v>
      </c>
      <c r="AF6" s="36" t="s">
        <v>29</v>
      </c>
      <c r="AG6" s="54" t="s">
        <v>89</v>
      </c>
      <c r="AH6" s="35" t="s">
        <v>30</v>
      </c>
      <c r="AI6" s="36" t="s">
        <v>31</v>
      </c>
      <c r="AJ6" s="36" t="s">
        <v>32</v>
      </c>
      <c r="AK6" s="41" t="s">
        <v>75</v>
      </c>
      <c r="AL6" s="35" t="s">
        <v>76</v>
      </c>
      <c r="AM6" s="36" t="s">
        <v>83</v>
      </c>
      <c r="AN6" s="73" t="s">
        <v>107</v>
      </c>
      <c r="AO6" s="73" t="s">
        <v>99</v>
      </c>
      <c r="AP6" s="73" t="s">
        <v>100</v>
      </c>
      <c r="AQ6" s="35" t="s">
        <v>101</v>
      </c>
      <c r="AR6" s="36" t="s">
        <v>77</v>
      </c>
      <c r="AS6" s="36" t="s">
        <v>88</v>
      </c>
      <c r="AT6" s="35" t="s">
        <v>33</v>
      </c>
      <c r="AU6" s="22" t="s">
        <v>34</v>
      </c>
    </row>
    <row r="8" spans="1:48" x14ac:dyDescent="0.2">
      <c r="A8" s="2" t="s">
        <v>36</v>
      </c>
      <c r="B8" s="55">
        <v>313000</v>
      </c>
      <c r="C8" s="55">
        <v>105500</v>
      </c>
      <c r="D8" s="55">
        <v>56750</v>
      </c>
      <c r="E8" s="55">
        <v>107649.99999999988</v>
      </c>
      <c r="F8" s="55">
        <v>272900</v>
      </c>
      <c r="G8" s="55">
        <v>58750</v>
      </c>
      <c r="H8" s="26"/>
      <c r="I8" s="55">
        <v>464900</v>
      </c>
      <c r="J8" s="55">
        <v>187008.1100000001</v>
      </c>
      <c r="K8" s="55">
        <v>19000</v>
      </c>
      <c r="L8" s="55">
        <v>88300</v>
      </c>
      <c r="M8" s="12">
        <v>53600</v>
      </c>
      <c r="N8" s="55"/>
      <c r="O8" s="55"/>
      <c r="P8" s="55"/>
      <c r="Q8" s="55"/>
      <c r="R8" s="55">
        <v>97750</v>
      </c>
      <c r="S8" s="55">
        <v>118000</v>
      </c>
      <c r="T8" s="55">
        <v>55750</v>
      </c>
      <c r="U8" s="55"/>
      <c r="V8" s="55">
        <v>54000</v>
      </c>
      <c r="W8" s="55"/>
      <c r="X8" s="55"/>
      <c r="Y8" s="55"/>
      <c r="Z8" s="55">
        <v>36000</v>
      </c>
      <c r="AA8" s="55">
        <v>38000</v>
      </c>
      <c r="AB8" s="55"/>
      <c r="AC8" s="55">
        <v>86500</v>
      </c>
      <c r="AD8" s="55">
        <v>38000</v>
      </c>
      <c r="AE8" s="55">
        <v>19500</v>
      </c>
      <c r="AF8" s="55">
        <v>84500</v>
      </c>
      <c r="AG8" s="55"/>
      <c r="AH8" s="55">
        <v>271500</v>
      </c>
      <c r="AI8" s="55">
        <v>55750</v>
      </c>
      <c r="AJ8" s="55"/>
      <c r="AK8" s="55">
        <v>57200</v>
      </c>
      <c r="AL8" s="55"/>
      <c r="AM8" s="55">
        <v>41000</v>
      </c>
      <c r="AN8" s="55">
        <v>38000</v>
      </c>
      <c r="AO8" s="55">
        <v>18500</v>
      </c>
      <c r="AP8" s="55">
        <v>232000</v>
      </c>
      <c r="AQ8" s="55">
        <v>18700</v>
      </c>
      <c r="AR8" s="55"/>
      <c r="AS8" s="55"/>
      <c r="AT8" s="56">
        <f>SUM(B8:AS8)</f>
        <v>3088008.1100000003</v>
      </c>
      <c r="AU8" s="23">
        <f>+AT8/$AT$13</f>
        <v>0.99305378708958925</v>
      </c>
    </row>
    <row r="9" spans="1:48" x14ac:dyDescent="0.2">
      <c r="A9" s="2" t="s">
        <v>94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12">
        <v>21600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6">
        <f t="shared" ref="AT9:AT12" si="0">SUM(B9:AS9)</f>
        <v>21600</v>
      </c>
      <c r="AU9" s="23">
        <f>+AT9/$AT$13</f>
        <v>6.9462129104107583E-3</v>
      </c>
    </row>
    <row r="10" spans="1:48" x14ac:dyDescent="0.2"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6">
        <f t="shared" si="0"/>
        <v>0</v>
      </c>
      <c r="AU10" s="23">
        <f>+AT10/$AT$13</f>
        <v>0</v>
      </c>
    </row>
    <row r="11" spans="1:48" x14ac:dyDescent="0.2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6">
        <f t="shared" si="0"/>
        <v>0</v>
      </c>
      <c r="AU11" s="23">
        <f>+AT11/$AT$13</f>
        <v>0</v>
      </c>
    </row>
    <row r="12" spans="1:48" x14ac:dyDescent="0.2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6">
        <f t="shared" si="0"/>
        <v>0</v>
      </c>
      <c r="AU12" s="23">
        <f>+AT12/$AT$13</f>
        <v>0</v>
      </c>
    </row>
    <row r="13" spans="1:48" ht="12.75" thickBot="1" x14ac:dyDescent="0.25">
      <c r="A13" s="14" t="s">
        <v>37</v>
      </c>
      <c r="B13" s="59">
        <f>SUM(B8:B12)</f>
        <v>313000</v>
      </c>
      <c r="C13" s="59">
        <f t="shared" ref="C13:AS13" si="1">SUM(C8:C12)</f>
        <v>105500</v>
      </c>
      <c r="D13" s="59">
        <f t="shared" si="1"/>
        <v>56750</v>
      </c>
      <c r="E13" s="59">
        <f t="shared" si="1"/>
        <v>107649.99999999988</v>
      </c>
      <c r="F13" s="59">
        <f t="shared" si="1"/>
        <v>272900</v>
      </c>
      <c r="G13" s="59">
        <f t="shared" si="1"/>
        <v>58750</v>
      </c>
      <c r="H13" s="59">
        <f t="shared" si="1"/>
        <v>0</v>
      </c>
      <c r="I13" s="59">
        <f t="shared" si="1"/>
        <v>464900</v>
      </c>
      <c r="J13" s="59">
        <f t="shared" si="1"/>
        <v>187008.1100000001</v>
      </c>
      <c r="K13" s="59">
        <f t="shared" si="1"/>
        <v>19000</v>
      </c>
      <c r="L13" s="59">
        <f t="shared" si="1"/>
        <v>88300</v>
      </c>
      <c r="M13" s="59">
        <f t="shared" si="1"/>
        <v>75200</v>
      </c>
      <c r="N13" s="59">
        <f t="shared" si="1"/>
        <v>0</v>
      </c>
      <c r="O13" s="59">
        <f t="shared" si="1"/>
        <v>0</v>
      </c>
      <c r="P13" s="59">
        <f t="shared" si="1"/>
        <v>0</v>
      </c>
      <c r="Q13" s="59">
        <f t="shared" si="1"/>
        <v>0</v>
      </c>
      <c r="R13" s="59">
        <f t="shared" si="1"/>
        <v>97750</v>
      </c>
      <c r="S13" s="59">
        <f t="shared" si="1"/>
        <v>118000</v>
      </c>
      <c r="T13" s="59">
        <f t="shared" si="1"/>
        <v>55750</v>
      </c>
      <c r="U13" s="59">
        <f t="shared" si="1"/>
        <v>0</v>
      </c>
      <c r="V13" s="59">
        <f t="shared" si="1"/>
        <v>54000</v>
      </c>
      <c r="W13" s="59">
        <f t="shared" si="1"/>
        <v>0</v>
      </c>
      <c r="X13" s="59">
        <f t="shared" si="1"/>
        <v>0</v>
      </c>
      <c r="Y13" s="59">
        <f t="shared" si="1"/>
        <v>0</v>
      </c>
      <c r="Z13" s="59">
        <f t="shared" si="1"/>
        <v>36000</v>
      </c>
      <c r="AA13" s="59">
        <f t="shared" si="1"/>
        <v>38000</v>
      </c>
      <c r="AB13" s="59">
        <f t="shared" si="1"/>
        <v>0</v>
      </c>
      <c r="AC13" s="59">
        <f t="shared" si="1"/>
        <v>86500</v>
      </c>
      <c r="AD13" s="59">
        <f t="shared" si="1"/>
        <v>38000</v>
      </c>
      <c r="AE13" s="59">
        <f t="shared" si="1"/>
        <v>19500</v>
      </c>
      <c r="AF13" s="59">
        <f t="shared" si="1"/>
        <v>84500</v>
      </c>
      <c r="AG13" s="59">
        <f t="shared" si="1"/>
        <v>0</v>
      </c>
      <c r="AH13" s="59">
        <f t="shared" si="1"/>
        <v>271500</v>
      </c>
      <c r="AI13" s="59">
        <f t="shared" si="1"/>
        <v>55750</v>
      </c>
      <c r="AJ13" s="59">
        <f t="shared" si="1"/>
        <v>0</v>
      </c>
      <c r="AK13" s="59">
        <f t="shared" si="1"/>
        <v>57200</v>
      </c>
      <c r="AL13" s="59">
        <f t="shared" si="1"/>
        <v>0</v>
      </c>
      <c r="AM13" s="59">
        <f t="shared" si="1"/>
        <v>41000</v>
      </c>
      <c r="AN13" s="59">
        <f t="shared" si="1"/>
        <v>38000</v>
      </c>
      <c r="AO13" s="59">
        <f t="shared" si="1"/>
        <v>18500</v>
      </c>
      <c r="AP13" s="59">
        <f t="shared" si="1"/>
        <v>232000</v>
      </c>
      <c r="AQ13" s="59">
        <f t="shared" si="1"/>
        <v>18700</v>
      </c>
      <c r="AR13" s="59">
        <f t="shared" si="1"/>
        <v>0</v>
      </c>
      <c r="AS13" s="59">
        <f t="shared" si="1"/>
        <v>0</v>
      </c>
      <c r="AT13" s="14">
        <f>SUM(AT8:AT12)</f>
        <v>3109608.1100000003</v>
      </c>
      <c r="AU13" s="10">
        <f>SUM(AU8:AU12)</f>
        <v>1</v>
      </c>
    </row>
    <row r="14" spans="1:48" ht="12.75" thickTop="1" x14ac:dyDescent="0.2"/>
    <row r="15" spans="1:48" x14ac:dyDescent="0.2">
      <c r="A15" s="2" t="s">
        <v>39</v>
      </c>
      <c r="B15" s="26">
        <v>132630.26</v>
      </c>
      <c r="C15" s="26">
        <v>0</v>
      </c>
      <c r="D15" s="26">
        <v>26215.75</v>
      </c>
      <c r="E15" s="26">
        <v>48155.56</v>
      </c>
      <c r="F15" s="26">
        <v>127847.15000000014</v>
      </c>
      <c r="G15" s="26">
        <v>29786.320000000007</v>
      </c>
      <c r="H15" s="26"/>
      <c r="I15" s="26">
        <v>186967.31000000006</v>
      </c>
      <c r="J15" s="26">
        <v>82587.790000000037</v>
      </c>
      <c r="K15" s="26">
        <v>9365</v>
      </c>
      <c r="L15" s="26">
        <v>42410.100000000035</v>
      </c>
      <c r="M15" s="26">
        <v>22505.570000000007</v>
      </c>
      <c r="N15" s="26"/>
      <c r="O15" s="26"/>
      <c r="P15" s="26"/>
      <c r="Q15" s="26"/>
      <c r="R15" s="26">
        <v>30707.090000000026</v>
      </c>
      <c r="S15" s="26">
        <v>38127.150000000023</v>
      </c>
      <c r="T15" s="26">
        <v>23439.5</v>
      </c>
      <c r="U15" s="26"/>
      <c r="V15" s="26">
        <v>28210.500000000058</v>
      </c>
      <c r="W15" s="26"/>
      <c r="X15" s="26"/>
      <c r="Y15" s="26"/>
      <c r="Z15" s="26">
        <v>9339</v>
      </c>
      <c r="AA15" s="26">
        <v>15630.809999999998</v>
      </c>
      <c r="AB15" s="26"/>
      <c r="AC15" s="26">
        <v>36475.440000000002</v>
      </c>
      <c r="AD15" s="26">
        <v>14061.399999999994</v>
      </c>
      <c r="AE15" s="26">
        <v>8805</v>
      </c>
      <c r="AF15" s="26">
        <v>28392.989999999991</v>
      </c>
      <c r="AG15" s="26">
        <v>0</v>
      </c>
      <c r="AH15" s="26">
        <v>122127.13000000012</v>
      </c>
      <c r="AI15" s="26">
        <v>26012.619999999995</v>
      </c>
      <c r="AJ15" s="26"/>
      <c r="AK15" s="26">
        <v>19737.880000000005</v>
      </c>
      <c r="AL15" s="26"/>
      <c r="AM15" s="26">
        <v>16810</v>
      </c>
      <c r="AN15" s="26"/>
      <c r="AO15" s="26">
        <v>9365</v>
      </c>
      <c r="AP15" s="26">
        <v>76283.380000000121</v>
      </c>
      <c r="AQ15" s="26">
        <v>7447</v>
      </c>
      <c r="AR15" s="26"/>
      <c r="AS15" s="26">
        <v>314456.02</v>
      </c>
      <c r="AT15" s="60">
        <f t="shared" ref="AT15:AT44" si="2">SUM(B15:AS15)</f>
        <v>1533898.7200000009</v>
      </c>
      <c r="AU15" s="23">
        <f t="shared" ref="AU15:AU44" si="3">+AT15/$AT$45</f>
        <v>0.54964402878021545</v>
      </c>
      <c r="AV15" s="2" t="s">
        <v>68</v>
      </c>
    </row>
    <row r="16" spans="1:48" x14ac:dyDescent="0.2">
      <c r="A16" s="2" t="s">
        <v>40</v>
      </c>
      <c r="B16" s="26">
        <v>17323.089999999997</v>
      </c>
      <c r="C16" s="26">
        <v>0</v>
      </c>
      <c r="D16" s="26">
        <v>3091.91</v>
      </c>
      <c r="E16" s="26">
        <v>5243.8099999999977</v>
      </c>
      <c r="F16" s="26">
        <v>14678.429999999993</v>
      </c>
      <c r="G16" s="26">
        <v>3164.91</v>
      </c>
      <c r="H16" s="26"/>
      <c r="I16" s="26">
        <v>20541.75999999998</v>
      </c>
      <c r="J16" s="26">
        <v>9310.11</v>
      </c>
      <c r="K16" s="26">
        <v>1040.9699999999993</v>
      </c>
      <c r="L16" s="26">
        <v>4150.4699999999939</v>
      </c>
      <c r="M16" s="26">
        <v>2919.9399999999987</v>
      </c>
      <c r="N16" s="26"/>
      <c r="O16" s="26"/>
      <c r="P16" s="26"/>
      <c r="Q16" s="26"/>
      <c r="R16" s="26">
        <v>3925.7400000000052</v>
      </c>
      <c r="S16" s="26">
        <v>3985.5500000000029</v>
      </c>
      <c r="T16" s="26">
        <v>2127.59</v>
      </c>
      <c r="U16" s="26"/>
      <c r="V16" s="26">
        <v>3168.5600000000013</v>
      </c>
      <c r="W16" s="26"/>
      <c r="X16" s="26"/>
      <c r="Y16" s="26"/>
      <c r="Z16" s="26">
        <v>1041.7700000000004</v>
      </c>
      <c r="AA16" s="26">
        <v>1464.6100000000006</v>
      </c>
      <c r="AB16" s="26"/>
      <c r="AC16" s="26">
        <v>4200.07</v>
      </c>
      <c r="AD16" s="26">
        <v>1685.4000000000015</v>
      </c>
      <c r="AE16" s="26">
        <v>1041.8499999999985</v>
      </c>
      <c r="AF16" s="26">
        <v>3410.5699999999997</v>
      </c>
      <c r="AG16" s="26">
        <v>0</v>
      </c>
      <c r="AH16" s="26">
        <v>14211.470000000001</v>
      </c>
      <c r="AI16" s="26">
        <v>2981.3599999999988</v>
      </c>
      <c r="AJ16" s="26"/>
      <c r="AK16" s="26">
        <v>2129.4900000000016</v>
      </c>
      <c r="AL16" s="26"/>
      <c r="AM16" s="26">
        <v>2098.2299999999996</v>
      </c>
      <c r="AN16" s="26"/>
      <c r="AO16" s="26">
        <v>1046.7299999999996</v>
      </c>
      <c r="AP16" s="26">
        <v>9102.2400000000052</v>
      </c>
      <c r="AQ16" s="26">
        <v>1067.3600000000006</v>
      </c>
      <c r="AR16" s="26"/>
      <c r="AS16" s="26">
        <v>31381.11</v>
      </c>
      <c r="AT16" s="60">
        <f t="shared" si="2"/>
        <v>171535.09999999998</v>
      </c>
      <c r="AU16" s="23">
        <f t="shared" si="3"/>
        <v>6.1466407274410571E-2</v>
      </c>
      <c r="AV16" s="2" t="s">
        <v>68</v>
      </c>
    </row>
    <row r="17" spans="1:48" x14ac:dyDescent="0.2">
      <c r="A17" s="2" t="s">
        <v>41</v>
      </c>
      <c r="B17" s="26">
        <v>12562.669999999998</v>
      </c>
      <c r="C17" s="26">
        <v>0</v>
      </c>
      <c r="D17" s="26">
        <v>1923.5600000000013</v>
      </c>
      <c r="E17" s="26">
        <v>3964.3799999999974</v>
      </c>
      <c r="F17" s="26">
        <v>11140.350000000006</v>
      </c>
      <c r="G17" s="26">
        <v>2371.75</v>
      </c>
      <c r="H17" s="26"/>
      <c r="I17" s="26">
        <v>15902.179999999993</v>
      </c>
      <c r="J17" s="26">
        <v>6936.4199999999983</v>
      </c>
      <c r="K17" s="26">
        <v>775.52000000000044</v>
      </c>
      <c r="L17" s="26">
        <v>3125.3099999999977</v>
      </c>
      <c r="M17" s="26">
        <v>2218.619999999999</v>
      </c>
      <c r="N17" s="26"/>
      <c r="O17" s="26"/>
      <c r="P17" s="26"/>
      <c r="Q17" s="26"/>
      <c r="R17" s="26">
        <v>2976.4800000000032</v>
      </c>
      <c r="S17" s="26">
        <v>2654.5499999999956</v>
      </c>
      <c r="T17" s="26">
        <v>1652.6399999999994</v>
      </c>
      <c r="U17" s="26"/>
      <c r="V17" s="26">
        <v>2415.0099999999984</v>
      </c>
      <c r="W17" s="26"/>
      <c r="X17" s="26"/>
      <c r="Y17" s="26"/>
      <c r="Z17" s="26">
        <v>777.28999999999905</v>
      </c>
      <c r="AA17" s="26">
        <v>1395.9200000000019</v>
      </c>
      <c r="AB17" s="26"/>
      <c r="AC17" s="26">
        <v>3146.41</v>
      </c>
      <c r="AD17" s="26">
        <v>1380.2900000000009</v>
      </c>
      <c r="AE17" s="26">
        <v>777.52000000000044</v>
      </c>
      <c r="AF17" s="26">
        <v>2807</v>
      </c>
      <c r="AG17" s="26">
        <v>0</v>
      </c>
      <c r="AH17" s="26">
        <v>10498.580000000002</v>
      </c>
      <c r="AI17" s="26">
        <v>2252.6999999999989</v>
      </c>
      <c r="AJ17" s="26"/>
      <c r="AK17" s="26">
        <v>1618.5400000000009</v>
      </c>
      <c r="AL17" s="26"/>
      <c r="AM17" s="26">
        <v>1552.0400000000009</v>
      </c>
      <c r="AN17" s="26"/>
      <c r="AO17" s="26">
        <v>788.32999999999993</v>
      </c>
      <c r="AP17" s="26">
        <v>6746.6999999999971</v>
      </c>
      <c r="AQ17" s="26">
        <v>775.51999999999953</v>
      </c>
      <c r="AR17" s="26"/>
      <c r="AS17" s="26">
        <v>14440.38</v>
      </c>
      <c r="AT17" s="60">
        <f t="shared" si="2"/>
        <v>119576.65999999999</v>
      </c>
      <c r="AU17" s="23">
        <f t="shared" si="3"/>
        <v>4.2848068319974862E-2</v>
      </c>
      <c r="AV17" s="2" t="s">
        <v>68</v>
      </c>
    </row>
    <row r="18" spans="1:48" x14ac:dyDescent="0.2">
      <c r="A18" s="2" t="s">
        <v>42</v>
      </c>
      <c r="B18" s="26">
        <v>7398.0200000000041</v>
      </c>
      <c r="C18" s="26">
        <v>0</v>
      </c>
      <c r="D18" s="26">
        <v>1140.630000000001</v>
      </c>
      <c r="E18" s="26">
        <v>2350.7900000000009</v>
      </c>
      <c r="F18" s="26">
        <v>6572.8499999999985</v>
      </c>
      <c r="G18" s="26">
        <v>1406.3999999999996</v>
      </c>
      <c r="H18" s="26"/>
      <c r="I18" s="26">
        <v>9700.7799999999988</v>
      </c>
      <c r="J18" s="26">
        <v>4113.1599999999962</v>
      </c>
      <c r="K18" s="26">
        <v>459.87000000000035</v>
      </c>
      <c r="L18" s="26">
        <v>1853.25</v>
      </c>
      <c r="M18" s="26">
        <v>1315.6000000000004</v>
      </c>
      <c r="N18" s="26"/>
      <c r="O18" s="26"/>
      <c r="P18" s="26"/>
      <c r="Q18" s="26"/>
      <c r="R18" s="26">
        <v>1776.5299999999988</v>
      </c>
      <c r="S18" s="26">
        <v>1574.0900000000001</v>
      </c>
      <c r="T18" s="26">
        <v>979.97999999999956</v>
      </c>
      <c r="U18" s="26"/>
      <c r="V18" s="26">
        <v>1432.0599999999995</v>
      </c>
      <c r="W18" s="26"/>
      <c r="X18" s="26"/>
      <c r="Y18" s="26"/>
      <c r="Z18" s="26">
        <v>460.92000000000007</v>
      </c>
      <c r="AA18" s="26">
        <v>827.75</v>
      </c>
      <c r="AB18" s="26"/>
      <c r="AC18" s="26">
        <v>1865.760000000002</v>
      </c>
      <c r="AD18" s="26">
        <v>818.48999999999978</v>
      </c>
      <c r="AE18" s="26">
        <v>461.05999999999949</v>
      </c>
      <c r="AF18" s="26">
        <v>1664.4900000000016</v>
      </c>
      <c r="AG18" s="26">
        <v>0</v>
      </c>
      <c r="AH18" s="26">
        <v>6225.4499999999971</v>
      </c>
      <c r="AI18" s="26">
        <v>1335.8000000000002</v>
      </c>
      <c r="AJ18" s="26"/>
      <c r="AK18" s="26">
        <v>959.76000000000022</v>
      </c>
      <c r="AL18" s="26"/>
      <c r="AM18" s="26">
        <v>920.32999999999993</v>
      </c>
      <c r="AN18" s="26"/>
      <c r="AO18" s="26">
        <v>467.46000000000004</v>
      </c>
      <c r="AP18" s="26">
        <v>4000.6600000000035</v>
      </c>
      <c r="AQ18" s="26">
        <v>459.86999999999989</v>
      </c>
      <c r="AR18" s="26"/>
      <c r="AS18" s="26">
        <v>8003.79</v>
      </c>
      <c r="AT18" s="60">
        <f t="shared" si="2"/>
        <v>70545.600000000006</v>
      </c>
      <c r="AU18" s="23">
        <f t="shared" si="3"/>
        <v>2.527870144954391E-2</v>
      </c>
      <c r="AV18" s="2" t="s">
        <v>68</v>
      </c>
    </row>
    <row r="19" spans="1:48" x14ac:dyDescent="0.2">
      <c r="A19" s="2" t="s">
        <v>43</v>
      </c>
      <c r="B19" s="26">
        <v>5540.43</v>
      </c>
      <c r="C19" s="26">
        <v>0</v>
      </c>
      <c r="D19" s="26">
        <v>1095.1200000000008</v>
      </c>
      <c r="E19" s="26">
        <v>2011.6299999999974</v>
      </c>
      <c r="F19" s="26">
        <v>5340.6200000000026</v>
      </c>
      <c r="G19" s="26">
        <v>1244.2799999999988</v>
      </c>
      <c r="H19" s="26"/>
      <c r="I19" s="26">
        <v>7810.2799999999988</v>
      </c>
      <c r="J19" s="26">
        <v>3449.9799999999959</v>
      </c>
      <c r="K19" s="26">
        <v>391.21000000000004</v>
      </c>
      <c r="L19" s="26">
        <v>1771.619999999999</v>
      </c>
      <c r="M19" s="26">
        <v>940.14000000000124</v>
      </c>
      <c r="N19" s="26"/>
      <c r="O19" s="26"/>
      <c r="P19" s="26"/>
      <c r="Q19" s="26"/>
      <c r="R19" s="26">
        <v>1282.7400000000016</v>
      </c>
      <c r="S19" s="26">
        <v>1592.6999999999971</v>
      </c>
      <c r="T19" s="26">
        <v>979.14999999999964</v>
      </c>
      <c r="U19" s="26"/>
      <c r="V19" s="26">
        <v>1178.4499999999989</v>
      </c>
      <c r="W19" s="26"/>
      <c r="X19" s="26"/>
      <c r="Y19" s="26"/>
      <c r="Z19" s="26">
        <v>390.11999999999989</v>
      </c>
      <c r="AA19" s="26">
        <v>652.94999999999982</v>
      </c>
      <c r="AB19" s="26"/>
      <c r="AC19" s="26">
        <v>1523.7100000000009</v>
      </c>
      <c r="AD19" s="26">
        <v>587.39000000000033</v>
      </c>
      <c r="AE19" s="26">
        <v>367.81999999999971</v>
      </c>
      <c r="AF19" s="26">
        <v>1186.0700000000015</v>
      </c>
      <c r="AG19" s="26">
        <v>0</v>
      </c>
      <c r="AH19" s="26">
        <v>5101.68</v>
      </c>
      <c r="AI19" s="26">
        <v>1086.6400000000003</v>
      </c>
      <c r="AJ19" s="26"/>
      <c r="AK19" s="26">
        <v>824.52000000000044</v>
      </c>
      <c r="AL19" s="26"/>
      <c r="AM19" s="26">
        <v>702.21</v>
      </c>
      <c r="AN19" s="26"/>
      <c r="AO19" s="26">
        <v>391.21000000000004</v>
      </c>
      <c r="AP19" s="26">
        <v>3186.6200000000026</v>
      </c>
      <c r="AQ19" s="26">
        <v>311.08999999999969</v>
      </c>
      <c r="AR19" s="26"/>
      <c r="AS19" s="26">
        <v>8708.4599999999991</v>
      </c>
      <c r="AT19" s="60">
        <f t="shared" si="2"/>
        <v>59648.839999999982</v>
      </c>
      <c r="AU19" s="23">
        <f t="shared" si="3"/>
        <v>2.1374050517276942E-2</v>
      </c>
    </row>
    <row r="20" spans="1:48" x14ac:dyDescent="0.2">
      <c r="A20" s="2" t="s">
        <v>44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/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/>
      <c r="O20" s="26"/>
      <c r="P20" s="26"/>
      <c r="Q20" s="26"/>
      <c r="R20" s="26">
        <v>0</v>
      </c>
      <c r="S20" s="26">
        <v>0</v>
      </c>
      <c r="T20" s="26">
        <v>0</v>
      </c>
      <c r="U20" s="26"/>
      <c r="V20" s="26">
        <v>0</v>
      </c>
      <c r="W20" s="26"/>
      <c r="X20" s="26"/>
      <c r="Y20" s="26"/>
      <c r="Z20" s="26">
        <v>0</v>
      </c>
      <c r="AA20" s="26">
        <v>0</v>
      </c>
      <c r="AB20" s="26"/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6"/>
      <c r="AK20" s="26">
        <v>0</v>
      </c>
      <c r="AL20" s="26"/>
      <c r="AM20" s="26">
        <v>0</v>
      </c>
      <c r="AN20" s="26"/>
      <c r="AO20" s="26">
        <v>0</v>
      </c>
      <c r="AP20" s="26">
        <v>0</v>
      </c>
      <c r="AQ20" s="26">
        <v>0</v>
      </c>
      <c r="AR20" s="26"/>
      <c r="AS20" s="26">
        <v>2019</v>
      </c>
      <c r="AT20" s="60">
        <f t="shared" si="2"/>
        <v>2019</v>
      </c>
      <c r="AU20" s="23">
        <f t="shared" si="3"/>
        <v>7.2347103471554776E-4</v>
      </c>
    </row>
    <row r="21" spans="1:48" x14ac:dyDescent="0.2">
      <c r="A21" s="2" t="s">
        <v>45</v>
      </c>
      <c r="B21" s="26">
        <v>0</v>
      </c>
      <c r="C21" s="26">
        <v>0</v>
      </c>
      <c r="D21" s="26">
        <v>0</v>
      </c>
      <c r="E21" s="26">
        <v>0</v>
      </c>
      <c r="F21" s="26">
        <v>6686.96</v>
      </c>
      <c r="G21" s="26">
        <v>0</v>
      </c>
      <c r="H21" s="26"/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/>
      <c r="O21" s="26"/>
      <c r="P21" s="26"/>
      <c r="Q21" s="26"/>
      <c r="R21" s="26">
        <v>0</v>
      </c>
      <c r="S21" s="26">
        <v>0</v>
      </c>
      <c r="T21" s="26">
        <v>0</v>
      </c>
      <c r="U21" s="26"/>
      <c r="V21" s="26">
        <v>0</v>
      </c>
      <c r="W21" s="26"/>
      <c r="X21" s="26"/>
      <c r="Y21" s="26"/>
      <c r="Z21" s="26">
        <v>0</v>
      </c>
      <c r="AA21" s="26">
        <v>0</v>
      </c>
      <c r="AB21" s="26"/>
      <c r="AC21" s="26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  <c r="AI21" s="26">
        <v>0</v>
      </c>
      <c r="AJ21" s="26"/>
      <c r="AK21" s="26">
        <v>0</v>
      </c>
      <c r="AL21" s="26"/>
      <c r="AM21" s="26">
        <v>0</v>
      </c>
      <c r="AN21" s="26"/>
      <c r="AO21" s="26">
        <v>0</v>
      </c>
      <c r="AP21" s="26">
        <v>0</v>
      </c>
      <c r="AQ21" s="26">
        <v>0</v>
      </c>
      <c r="AR21" s="26"/>
      <c r="AS21" s="26">
        <v>0</v>
      </c>
      <c r="AT21" s="60">
        <f t="shared" si="2"/>
        <v>6686.96</v>
      </c>
      <c r="AU21" s="23">
        <f t="shared" si="3"/>
        <v>2.3961475335817135E-3</v>
      </c>
    </row>
    <row r="22" spans="1:48" x14ac:dyDescent="0.2">
      <c r="A22" s="2" t="s">
        <v>46</v>
      </c>
      <c r="B22" s="26">
        <v>3280</v>
      </c>
      <c r="C22" s="26">
        <v>0</v>
      </c>
      <c r="D22" s="26">
        <v>1215</v>
      </c>
      <c r="E22" s="26">
        <v>0</v>
      </c>
      <c r="F22" s="26">
        <v>3240</v>
      </c>
      <c r="G22" s="26">
        <v>830</v>
      </c>
      <c r="H22" s="26"/>
      <c r="I22" s="26">
        <v>6500</v>
      </c>
      <c r="J22" s="26">
        <v>3280</v>
      </c>
      <c r="K22" s="26">
        <v>405</v>
      </c>
      <c r="L22" s="26">
        <v>1235</v>
      </c>
      <c r="M22" s="26">
        <v>810</v>
      </c>
      <c r="N22" s="26"/>
      <c r="O22" s="26"/>
      <c r="P22" s="26"/>
      <c r="Q22" s="26"/>
      <c r="R22" s="26">
        <v>1235</v>
      </c>
      <c r="S22" s="26">
        <v>1215</v>
      </c>
      <c r="T22" s="26">
        <v>810</v>
      </c>
      <c r="U22" s="26"/>
      <c r="V22" s="26">
        <v>810</v>
      </c>
      <c r="W22" s="26"/>
      <c r="X22" s="26"/>
      <c r="Y22" s="26"/>
      <c r="Z22" s="26">
        <v>0</v>
      </c>
      <c r="AA22" s="26">
        <v>405</v>
      </c>
      <c r="AB22" s="26"/>
      <c r="AC22" s="26">
        <v>1215</v>
      </c>
      <c r="AD22" s="26">
        <v>405</v>
      </c>
      <c r="AE22" s="26">
        <v>405</v>
      </c>
      <c r="AF22" s="26">
        <v>1235</v>
      </c>
      <c r="AG22" s="26">
        <v>0</v>
      </c>
      <c r="AH22" s="26">
        <v>3685</v>
      </c>
      <c r="AI22" s="26">
        <v>830</v>
      </c>
      <c r="AJ22" s="26"/>
      <c r="AK22" s="26">
        <v>830</v>
      </c>
      <c r="AL22" s="26"/>
      <c r="AM22" s="26">
        <v>810</v>
      </c>
      <c r="AN22" s="26"/>
      <c r="AO22" s="26">
        <v>0</v>
      </c>
      <c r="AP22" s="26">
        <v>3260</v>
      </c>
      <c r="AQ22" s="26">
        <v>405</v>
      </c>
      <c r="AR22" s="26"/>
      <c r="AS22" s="26">
        <v>0</v>
      </c>
      <c r="AT22" s="60">
        <f t="shared" si="2"/>
        <v>38350</v>
      </c>
      <c r="AU22" s="23">
        <f t="shared" si="3"/>
        <v>1.374200801453257E-2</v>
      </c>
    </row>
    <row r="23" spans="1:48" x14ac:dyDescent="0.2">
      <c r="A23" s="2" t="s">
        <v>47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/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/>
      <c r="O23" s="26"/>
      <c r="P23" s="26"/>
      <c r="Q23" s="26"/>
      <c r="R23" s="26">
        <v>0</v>
      </c>
      <c r="S23" s="26">
        <v>0</v>
      </c>
      <c r="T23" s="26">
        <v>0</v>
      </c>
      <c r="U23" s="26"/>
      <c r="V23" s="26">
        <v>0</v>
      </c>
      <c r="W23" s="26"/>
      <c r="X23" s="26"/>
      <c r="Y23" s="26"/>
      <c r="Z23" s="26">
        <v>0</v>
      </c>
      <c r="AA23" s="26">
        <v>0</v>
      </c>
      <c r="AB23" s="26"/>
      <c r="AC23" s="26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  <c r="AI23" s="26">
        <v>0</v>
      </c>
      <c r="AJ23" s="26"/>
      <c r="AK23" s="26">
        <v>0</v>
      </c>
      <c r="AL23" s="26"/>
      <c r="AM23" s="26">
        <v>0</v>
      </c>
      <c r="AN23" s="26"/>
      <c r="AO23" s="26">
        <v>0</v>
      </c>
      <c r="AP23" s="26">
        <v>0</v>
      </c>
      <c r="AQ23" s="26">
        <v>0</v>
      </c>
      <c r="AR23" s="26"/>
      <c r="AS23" s="26">
        <v>0</v>
      </c>
      <c r="AT23" s="60">
        <f t="shared" si="2"/>
        <v>0</v>
      </c>
      <c r="AU23" s="23">
        <f t="shared" si="3"/>
        <v>0</v>
      </c>
    </row>
    <row r="24" spans="1:48" x14ac:dyDescent="0.2">
      <c r="A24" s="2" t="s">
        <v>48</v>
      </c>
      <c r="B24" s="26">
        <v>283.61999999999989</v>
      </c>
      <c r="C24" s="26">
        <v>283.61999999999989</v>
      </c>
      <c r="D24" s="26">
        <v>283.62000000000012</v>
      </c>
      <c r="E24" s="26">
        <v>283.61999999999989</v>
      </c>
      <c r="F24" s="26">
        <v>283.61999999999989</v>
      </c>
      <c r="G24" s="26">
        <v>283.61999999999989</v>
      </c>
      <c r="H24" s="26"/>
      <c r="I24" s="26">
        <v>283.61999999999989</v>
      </c>
      <c r="J24" s="26">
        <v>283.61999999999989</v>
      </c>
      <c r="K24" s="26">
        <v>0</v>
      </c>
      <c r="L24" s="26">
        <v>283.61999999999989</v>
      </c>
      <c r="M24" s="26">
        <v>283.61999999999989</v>
      </c>
      <c r="N24" s="26"/>
      <c r="O24" s="26"/>
      <c r="P24" s="26"/>
      <c r="Q24" s="26"/>
      <c r="R24" s="26">
        <v>567.23999999999978</v>
      </c>
      <c r="S24" s="26">
        <v>283.61999999999989</v>
      </c>
      <c r="T24" s="26">
        <v>283.61999999999989</v>
      </c>
      <c r="U24" s="26"/>
      <c r="V24" s="26">
        <v>283.61999999999989</v>
      </c>
      <c r="W24" s="26"/>
      <c r="X24" s="26"/>
      <c r="Y24" s="26"/>
      <c r="Z24" s="26">
        <v>283.61999999999989</v>
      </c>
      <c r="AA24" s="26">
        <v>283.61999999999989</v>
      </c>
      <c r="AB24" s="26"/>
      <c r="AC24" s="26">
        <v>283.61999999999989</v>
      </c>
      <c r="AD24" s="26">
        <v>283.61999999999989</v>
      </c>
      <c r="AE24" s="26">
        <v>283.61999999999989</v>
      </c>
      <c r="AF24" s="26">
        <v>567.23999999999978</v>
      </c>
      <c r="AG24" s="26">
        <v>0</v>
      </c>
      <c r="AH24" s="26">
        <v>283.61999999999989</v>
      </c>
      <c r="AI24" s="26">
        <v>283.61999999999989</v>
      </c>
      <c r="AJ24" s="26"/>
      <c r="AK24" s="26">
        <v>283.61999999999989</v>
      </c>
      <c r="AL24" s="26"/>
      <c r="AM24" s="26">
        <v>283.61999999999989</v>
      </c>
      <c r="AN24" s="26"/>
      <c r="AO24" s="26">
        <v>283.61999999999989</v>
      </c>
      <c r="AP24" s="26">
        <v>567.23999999999978</v>
      </c>
      <c r="AQ24" s="26">
        <v>283.61999999999989</v>
      </c>
      <c r="AR24" s="26"/>
      <c r="AS24" s="26">
        <v>2329.33</v>
      </c>
      <c r="AT24" s="60">
        <f t="shared" si="2"/>
        <v>10837.929999999995</v>
      </c>
      <c r="AU24" s="23">
        <f t="shared" si="3"/>
        <v>3.883570297808159E-3</v>
      </c>
    </row>
    <row r="25" spans="1:48" x14ac:dyDescent="0.2">
      <c r="A25" s="2" t="s">
        <v>49</v>
      </c>
      <c r="B25" s="26">
        <v>1119.8399999999997</v>
      </c>
      <c r="C25" s="26">
        <v>486.88999999999987</v>
      </c>
      <c r="D25" s="26">
        <v>439.34999999999991</v>
      </c>
      <c r="E25" s="26">
        <v>417.99</v>
      </c>
      <c r="F25" s="26">
        <v>1218.33</v>
      </c>
      <c r="G25" s="26">
        <v>289.13</v>
      </c>
      <c r="H25" s="26"/>
      <c r="I25" s="26">
        <v>2072.1200000000003</v>
      </c>
      <c r="J25" s="26">
        <v>920.53</v>
      </c>
      <c r="K25" s="26">
        <v>148.40000000000003</v>
      </c>
      <c r="L25" s="26">
        <v>442.98</v>
      </c>
      <c r="M25" s="26">
        <v>274.59999999999991</v>
      </c>
      <c r="N25" s="26"/>
      <c r="O25" s="26"/>
      <c r="P25" s="26"/>
      <c r="Q25" s="26"/>
      <c r="R25" s="26">
        <v>451.52999999999975</v>
      </c>
      <c r="S25" s="26">
        <v>546.70999999999981</v>
      </c>
      <c r="T25" s="26">
        <v>449.41000000000008</v>
      </c>
      <c r="U25" s="26"/>
      <c r="V25" s="26">
        <v>270</v>
      </c>
      <c r="W25" s="26"/>
      <c r="X25" s="26"/>
      <c r="Y25" s="26"/>
      <c r="Z25" s="26">
        <v>150.85999999999996</v>
      </c>
      <c r="AA25" s="26">
        <v>199.27999999999997</v>
      </c>
      <c r="AB25" s="26"/>
      <c r="AC25" s="26">
        <v>524.37000000000035</v>
      </c>
      <c r="AD25" s="26">
        <v>398.41</v>
      </c>
      <c r="AE25" s="26">
        <v>85.02000000000001</v>
      </c>
      <c r="AF25" s="26">
        <v>477.75</v>
      </c>
      <c r="AG25" s="26">
        <v>0</v>
      </c>
      <c r="AH25" s="26">
        <v>1506.48</v>
      </c>
      <c r="AI25" s="26">
        <v>286.29999999999995</v>
      </c>
      <c r="AJ25" s="26"/>
      <c r="AK25" s="26">
        <v>292.65000000000009</v>
      </c>
      <c r="AL25" s="26"/>
      <c r="AM25" s="26">
        <v>119.6</v>
      </c>
      <c r="AN25" s="26"/>
      <c r="AO25" s="26">
        <v>276.31999999999994</v>
      </c>
      <c r="AP25" s="26">
        <v>1238.3900000000003</v>
      </c>
      <c r="AQ25" s="26">
        <v>59.8</v>
      </c>
      <c r="AR25" s="26"/>
      <c r="AS25" s="26">
        <v>1335.89</v>
      </c>
      <c r="AT25" s="60">
        <f t="shared" si="2"/>
        <v>16498.929999999997</v>
      </c>
      <c r="AU25" s="23">
        <f t="shared" si="3"/>
        <v>5.9120841796926156E-3</v>
      </c>
    </row>
    <row r="26" spans="1:48" x14ac:dyDescent="0.2">
      <c r="A26" s="2" t="s">
        <v>50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/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/>
      <c r="O26" s="26"/>
      <c r="P26" s="26"/>
      <c r="Q26" s="26"/>
      <c r="R26" s="26">
        <v>0</v>
      </c>
      <c r="S26" s="26">
        <v>0</v>
      </c>
      <c r="T26" s="26">
        <v>0</v>
      </c>
      <c r="U26" s="26"/>
      <c r="V26" s="26">
        <v>0</v>
      </c>
      <c r="W26" s="26"/>
      <c r="X26" s="26"/>
      <c r="Y26" s="26"/>
      <c r="Z26" s="26">
        <v>0</v>
      </c>
      <c r="AA26" s="26">
        <v>0</v>
      </c>
      <c r="AB26" s="26"/>
      <c r="AC26" s="26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  <c r="AI26" s="26">
        <v>0</v>
      </c>
      <c r="AJ26" s="26"/>
      <c r="AK26" s="26">
        <v>0</v>
      </c>
      <c r="AL26" s="26"/>
      <c r="AM26" s="26">
        <v>0</v>
      </c>
      <c r="AN26" s="26"/>
      <c r="AO26" s="26">
        <v>0</v>
      </c>
      <c r="AP26" s="26">
        <v>0</v>
      </c>
      <c r="AQ26" s="26">
        <v>0</v>
      </c>
      <c r="AR26" s="26"/>
      <c r="AS26" s="26">
        <v>44837.96</v>
      </c>
      <c r="AT26" s="60">
        <f t="shared" si="2"/>
        <v>44837.96</v>
      </c>
      <c r="AU26" s="23">
        <f t="shared" si="3"/>
        <v>1.6066847605613839E-2</v>
      </c>
    </row>
    <row r="27" spans="1:48" x14ac:dyDescent="0.2">
      <c r="A27" s="2" t="s">
        <v>51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/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/>
      <c r="O27" s="26"/>
      <c r="P27" s="26"/>
      <c r="Q27" s="26"/>
      <c r="R27" s="26">
        <v>0</v>
      </c>
      <c r="S27" s="26">
        <v>0</v>
      </c>
      <c r="T27" s="26">
        <v>0</v>
      </c>
      <c r="U27" s="26"/>
      <c r="V27" s="26">
        <v>0</v>
      </c>
      <c r="W27" s="26"/>
      <c r="X27" s="26"/>
      <c r="Y27" s="26"/>
      <c r="Z27" s="26">
        <v>0</v>
      </c>
      <c r="AA27" s="26">
        <v>0</v>
      </c>
      <c r="AB27" s="26"/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/>
      <c r="AK27" s="26">
        <v>0</v>
      </c>
      <c r="AL27" s="26"/>
      <c r="AM27" s="26">
        <v>0</v>
      </c>
      <c r="AN27" s="26"/>
      <c r="AO27" s="26">
        <v>0</v>
      </c>
      <c r="AP27" s="26">
        <v>0</v>
      </c>
      <c r="AQ27" s="26">
        <v>0</v>
      </c>
      <c r="AR27" s="26"/>
      <c r="AS27" s="26">
        <v>0</v>
      </c>
      <c r="AT27" s="60">
        <f t="shared" si="2"/>
        <v>0</v>
      </c>
      <c r="AU27" s="23">
        <f t="shared" si="3"/>
        <v>0</v>
      </c>
    </row>
    <row r="28" spans="1:48" x14ac:dyDescent="0.2">
      <c r="A28" s="2" t="s">
        <v>52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/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/>
      <c r="O28" s="26"/>
      <c r="P28" s="26"/>
      <c r="Q28" s="26"/>
      <c r="R28" s="26">
        <v>0</v>
      </c>
      <c r="S28" s="26">
        <v>0</v>
      </c>
      <c r="T28" s="26">
        <v>0</v>
      </c>
      <c r="U28" s="26"/>
      <c r="V28" s="26">
        <v>0</v>
      </c>
      <c r="W28" s="26"/>
      <c r="X28" s="26"/>
      <c r="Y28" s="26"/>
      <c r="Z28" s="26">
        <v>0</v>
      </c>
      <c r="AA28" s="26">
        <v>0</v>
      </c>
      <c r="AB28" s="26"/>
      <c r="AC28" s="26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  <c r="AI28" s="26">
        <v>0</v>
      </c>
      <c r="AJ28" s="26"/>
      <c r="AK28" s="26">
        <v>0</v>
      </c>
      <c r="AL28" s="26"/>
      <c r="AM28" s="26">
        <v>0</v>
      </c>
      <c r="AN28" s="26"/>
      <c r="AO28" s="26">
        <v>0</v>
      </c>
      <c r="AP28" s="26">
        <v>0</v>
      </c>
      <c r="AQ28" s="26">
        <v>0</v>
      </c>
      <c r="AR28" s="26"/>
      <c r="AS28" s="26">
        <v>2100</v>
      </c>
      <c r="AT28" s="60">
        <f t="shared" si="2"/>
        <v>2100</v>
      </c>
      <c r="AU28" s="23">
        <f t="shared" si="3"/>
        <v>7.5249587563281349E-4</v>
      </c>
    </row>
    <row r="29" spans="1:48" x14ac:dyDescent="0.2">
      <c r="A29" s="2" t="s">
        <v>53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/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/>
      <c r="O29" s="26"/>
      <c r="P29" s="26"/>
      <c r="Q29" s="26"/>
      <c r="R29" s="26">
        <v>0</v>
      </c>
      <c r="S29" s="26">
        <v>0</v>
      </c>
      <c r="T29" s="26">
        <v>0</v>
      </c>
      <c r="U29" s="26"/>
      <c r="V29" s="26">
        <v>0</v>
      </c>
      <c r="W29" s="26"/>
      <c r="X29" s="26"/>
      <c r="Y29" s="26"/>
      <c r="Z29" s="26">
        <v>0</v>
      </c>
      <c r="AA29" s="26">
        <v>0</v>
      </c>
      <c r="AB29" s="26"/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26">
        <v>0</v>
      </c>
      <c r="AJ29" s="26"/>
      <c r="AK29" s="26">
        <v>0</v>
      </c>
      <c r="AL29" s="26"/>
      <c r="AM29" s="26">
        <v>0</v>
      </c>
      <c r="AN29" s="26"/>
      <c r="AO29" s="26">
        <v>0</v>
      </c>
      <c r="AP29" s="26">
        <v>0</v>
      </c>
      <c r="AQ29" s="26">
        <v>0</v>
      </c>
      <c r="AR29" s="26"/>
      <c r="AS29" s="26">
        <v>5805</v>
      </c>
      <c r="AT29" s="60">
        <f t="shared" si="2"/>
        <v>5805</v>
      </c>
      <c r="AU29" s="23">
        <f t="shared" si="3"/>
        <v>2.080113599070706E-3</v>
      </c>
    </row>
    <row r="30" spans="1:48" x14ac:dyDescent="0.2">
      <c r="A30" s="2" t="s">
        <v>54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/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/>
      <c r="O30" s="26"/>
      <c r="P30" s="26"/>
      <c r="Q30" s="26"/>
      <c r="R30" s="26">
        <v>0</v>
      </c>
      <c r="S30" s="26">
        <v>0</v>
      </c>
      <c r="T30" s="26">
        <v>0</v>
      </c>
      <c r="U30" s="26"/>
      <c r="V30" s="26">
        <v>0</v>
      </c>
      <c r="W30" s="26"/>
      <c r="X30" s="26"/>
      <c r="Y30" s="26"/>
      <c r="Z30" s="26">
        <v>0</v>
      </c>
      <c r="AA30" s="26">
        <v>0</v>
      </c>
      <c r="AB30" s="26"/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6"/>
      <c r="AK30" s="26">
        <v>0</v>
      </c>
      <c r="AL30" s="26"/>
      <c r="AM30" s="26">
        <v>0</v>
      </c>
      <c r="AN30" s="26"/>
      <c r="AO30" s="26">
        <v>0</v>
      </c>
      <c r="AP30" s="26">
        <v>0</v>
      </c>
      <c r="AQ30" s="26">
        <v>0</v>
      </c>
      <c r="AR30" s="26"/>
      <c r="AS30" s="26">
        <v>0</v>
      </c>
      <c r="AT30" s="60">
        <f t="shared" si="2"/>
        <v>0</v>
      </c>
      <c r="AU30" s="23">
        <f t="shared" si="3"/>
        <v>0</v>
      </c>
    </row>
    <row r="31" spans="1:48" x14ac:dyDescent="0.2">
      <c r="A31" s="2" t="s">
        <v>55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/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/>
      <c r="O31" s="26"/>
      <c r="P31" s="26"/>
      <c r="Q31" s="26"/>
      <c r="R31" s="26">
        <v>0</v>
      </c>
      <c r="S31" s="26">
        <v>0</v>
      </c>
      <c r="T31" s="26">
        <v>0</v>
      </c>
      <c r="U31" s="26"/>
      <c r="V31" s="26">
        <v>0</v>
      </c>
      <c r="W31" s="26"/>
      <c r="X31" s="26"/>
      <c r="Y31" s="26"/>
      <c r="Z31" s="26">
        <v>0</v>
      </c>
      <c r="AA31" s="26">
        <v>0</v>
      </c>
      <c r="AB31" s="26"/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/>
      <c r="AK31" s="26">
        <v>0</v>
      </c>
      <c r="AL31" s="26"/>
      <c r="AM31" s="26">
        <v>0</v>
      </c>
      <c r="AN31" s="26"/>
      <c r="AO31" s="26">
        <v>0</v>
      </c>
      <c r="AP31" s="26">
        <v>0</v>
      </c>
      <c r="AQ31" s="26">
        <v>0</v>
      </c>
      <c r="AR31" s="26"/>
      <c r="AS31" s="26">
        <v>18514.599999999999</v>
      </c>
      <c r="AT31" s="60">
        <f t="shared" si="2"/>
        <v>18514.599999999999</v>
      </c>
      <c r="AU31" s="23">
        <f t="shared" si="3"/>
        <v>6.6343619709482316E-3</v>
      </c>
    </row>
    <row r="32" spans="1:48" x14ac:dyDescent="0.2">
      <c r="A32" s="2" t="s">
        <v>56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/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/>
      <c r="O32" s="26"/>
      <c r="P32" s="26"/>
      <c r="Q32" s="26"/>
      <c r="R32" s="26">
        <v>0</v>
      </c>
      <c r="S32" s="26">
        <v>0</v>
      </c>
      <c r="T32" s="26">
        <v>0</v>
      </c>
      <c r="U32" s="26"/>
      <c r="V32" s="26">
        <v>0</v>
      </c>
      <c r="W32" s="26"/>
      <c r="X32" s="26"/>
      <c r="Y32" s="26"/>
      <c r="Z32" s="26">
        <v>0</v>
      </c>
      <c r="AA32" s="26">
        <v>0</v>
      </c>
      <c r="AB32" s="26"/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26">
        <v>0</v>
      </c>
      <c r="AJ32" s="26"/>
      <c r="AK32" s="26">
        <v>0</v>
      </c>
      <c r="AL32" s="26"/>
      <c r="AM32" s="26">
        <v>0</v>
      </c>
      <c r="AN32" s="26"/>
      <c r="AO32" s="26">
        <v>0</v>
      </c>
      <c r="AP32" s="26">
        <v>0</v>
      </c>
      <c r="AQ32" s="26">
        <v>0</v>
      </c>
      <c r="AR32" s="26"/>
      <c r="AS32" s="26">
        <v>0</v>
      </c>
      <c r="AT32" s="60">
        <f t="shared" si="2"/>
        <v>0</v>
      </c>
      <c r="AU32" s="23">
        <f t="shared" si="3"/>
        <v>0</v>
      </c>
    </row>
    <row r="33" spans="1:48" x14ac:dyDescent="0.2">
      <c r="A33" s="76" t="s">
        <v>102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/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/>
      <c r="O33" s="26"/>
      <c r="P33" s="26"/>
      <c r="Q33" s="26"/>
      <c r="R33" s="26">
        <v>0</v>
      </c>
      <c r="S33" s="26">
        <v>0</v>
      </c>
      <c r="T33" s="26">
        <v>0</v>
      </c>
      <c r="U33" s="26"/>
      <c r="V33" s="26">
        <v>0</v>
      </c>
      <c r="W33" s="26"/>
      <c r="X33" s="26"/>
      <c r="Y33" s="26"/>
      <c r="Z33" s="26">
        <v>0</v>
      </c>
      <c r="AA33" s="26">
        <v>0</v>
      </c>
      <c r="AB33" s="26"/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/>
      <c r="AK33" s="26">
        <v>0</v>
      </c>
      <c r="AL33" s="26"/>
      <c r="AM33" s="26">
        <v>0</v>
      </c>
      <c r="AN33" s="26"/>
      <c r="AO33" s="26">
        <v>0</v>
      </c>
      <c r="AP33" s="26">
        <v>0</v>
      </c>
      <c r="AQ33" s="26">
        <v>0</v>
      </c>
      <c r="AR33" s="26"/>
      <c r="AS33" s="26">
        <v>5000</v>
      </c>
      <c r="AT33" s="60">
        <f t="shared" si="2"/>
        <v>5000</v>
      </c>
      <c r="AU33" s="23">
        <f t="shared" si="3"/>
        <v>1.7916568467447941E-3</v>
      </c>
    </row>
    <row r="34" spans="1:48" x14ac:dyDescent="0.2">
      <c r="A34" s="2" t="s">
        <v>57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0</v>
      </c>
      <c r="H34" s="26"/>
      <c r="I34" s="26">
        <v>0</v>
      </c>
      <c r="J34" s="26">
        <v>0</v>
      </c>
      <c r="K34" s="26">
        <v>1783.62</v>
      </c>
      <c r="L34" s="26">
        <v>0</v>
      </c>
      <c r="M34" s="26">
        <v>0</v>
      </c>
      <c r="N34" s="26"/>
      <c r="O34" s="26"/>
      <c r="P34" s="26"/>
      <c r="Q34" s="26"/>
      <c r="R34" s="26">
        <v>0</v>
      </c>
      <c r="S34" s="26">
        <v>0</v>
      </c>
      <c r="T34" s="26">
        <v>1783.62</v>
      </c>
      <c r="U34" s="26"/>
      <c r="V34" s="26">
        <v>0</v>
      </c>
      <c r="W34" s="26"/>
      <c r="X34" s="26"/>
      <c r="Y34" s="26"/>
      <c r="Z34" s="26">
        <v>0</v>
      </c>
      <c r="AA34" s="26">
        <v>0</v>
      </c>
      <c r="AB34" s="26"/>
      <c r="AC34" s="26">
        <v>0</v>
      </c>
      <c r="AD34" s="26">
        <v>1783.62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/>
      <c r="AK34" s="26">
        <v>0</v>
      </c>
      <c r="AL34" s="26"/>
      <c r="AM34" s="26">
        <v>0</v>
      </c>
      <c r="AN34" s="26"/>
      <c r="AO34" s="26">
        <v>0</v>
      </c>
      <c r="AP34" s="26">
        <v>0</v>
      </c>
      <c r="AQ34" s="26">
        <v>0</v>
      </c>
      <c r="AR34" s="26"/>
      <c r="AS34" s="26">
        <v>7295.65</v>
      </c>
      <c r="AT34" s="60">
        <f t="shared" si="2"/>
        <v>12646.509999999998</v>
      </c>
      <c r="AU34" s="23">
        <f t="shared" si="3"/>
        <v>4.5316412457853004E-3</v>
      </c>
    </row>
    <row r="35" spans="1:48" x14ac:dyDescent="0.2">
      <c r="A35" s="2" t="s">
        <v>58</v>
      </c>
      <c r="B35" s="26">
        <v>0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/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/>
      <c r="O35" s="26"/>
      <c r="P35" s="26"/>
      <c r="Q35" s="26"/>
      <c r="R35" s="26">
        <v>0</v>
      </c>
      <c r="S35" s="26">
        <v>0</v>
      </c>
      <c r="T35" s="26">
        <v>0</v>
      </c>
      <c r="U35" s="26"/>
      <c r="V35" s="26">
        <v>0</v>
      </c>
      <c r="W35" s="26"/>
      <c r="X35" s="26"/>
      <c r="Y35" s="26"/>
      <c r="Z35" s="26">
        <v>0</v>
      </c>
      <c r="AA35" s="26">
        <v>0</v>
      </c>
      <c r="AB35" s="26"/>
      <c r="AC35" s="26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26">
        <v>0</v>
      </c>
      <c r="AJ35" s="26"/>
      <c r="AK35" s="26">
        <v>0</v>
      </c>
      <c r="AL35" s="26"/>
      <c r="AM35" s="26">
        <v>0</v>
      </c>
      <c r="AN35" s="26"/>
      <c r="AO35" s="26">
        <v>0</v>
      </c>
      <c r="AP35" s="26">
        <v>0</v>
      </c>
      <c r="AQ35" s="26">
        <v>0</v>
      </c>
      <c r="AR35" s="26"/>
      <c r="AS35" s="26">
        <v>0</v>
      </c>
      <c r="AT35" s="60">
        <f t="shared" si="2"/>
        <v>0</v>
      </c>
      <c r="AU35" s="23">
        <f t="shared" si="3"/>
        <v>0</v>
      </c>
    </row>
    <row r="36" spans="1:48" x14ac:dyDescent="0.2">
      <c r="A36" s="2" t="s">
        <v>59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/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/>
      <c r="O36" s="26"/>
      <c r="P36" s="26"/>
      <c r="Q36" s="26"/>
      <c r="R36" s="26">
        <v>0</v>
      </c>
      <c r="S36" s="26">
        <v>0</v>
      </c>
      <c r="T36" s="26">
        <v>0</v>
      </c>
      <c r="U36" s="26"/>
      <c r="V36" s="26">
        <v>0</v>
      </c>
      <c r="W36" s="26"/>
      <c r="X36" s="26"/>
      <c r="Y36" s="26"/>
      <c r="Z36" s="26">
        <v>0</v>
      </c>
      <c r="AA36" s="26">
        <v>0</v>
      </c>
      <c r="AB36" s="26"/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/>
      <c r="AK36" s="26">
        <v>0</v>
      </c>
      <c r="AL36" s="26"/>
      <c r="AM36" s="26">
        <v>0</v>
      </c>
      <c r="AN36" s="26"/>
      <c r="AO36" s="26">
        <v>0</v>
      </c>
      <c r="AP36" s="26">
        <v>0</v>
      </c>
      <c r="AQ36" s="26">
        <v>0</v>
      </c>
      <c r="AR36" s="26"/>
      <c r="AS36" s="26">
        <v>0</v>
      </c>
      <c r="AT36" s="60">
        <f t="shared" si="2"/>
        <v>0</v>
      </c>
      <c r="AU36" s="23">
        <f t="shared" si="3"/>
        <v>0</v>
      </c>
    </row>
    <row r="37" spans="1:48" x14ac:dyDescent="0.2">
      <c r="A37" s="2" t="s">
        <v>60</v>
      </c>
      <c r="B37" s="26">
        <v>0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/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/>
      <c r="O37" s="26"/>
      <c r="P37" s="26"/>
      <c r="Q37" s="26"/>
      <c r="R37" s="26">
        <v>0</v>
      </c>
      <c r="S37" s="26">
        <v>0</v>
      </c>
      <c r="T37" s="26">
        <v>0</v>
      </c>
      <c r="U37" s="26"/>
      <c r="V37" s="26">
        <v>0</v>
      </c>
      <c r="W37" s="26"/>
      <c r="X37" s="26"/>
      <c r="Y37" s="26"/>
      <c r="Z37" s="26">
        <v>0</v>
      </c>
      <c r="AA37" s="26">
        <v>0</v>
      </c>
      <c r="AB37" s="26"/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/>
      <c r="AK37" s="26">
        <v>0</v>
      </c>
      <c r="AL37" s="26"/>
      <c r="AM37" s="26">
        <v>0</v>
      </c>
      <c r="AN37" s="26"/>
      <c r="AO37" s="26">
        <v>0</v>
      </c>
      <c r="AP37" s="26">
        <v>0</v>
      </c>
      <c r="AQ37" s="26">
        <v>0</v>
      </c>
      <c r="AR37" s="26"/>
      <c r="AS37" s="26">
        <v>18400</v>
      </c>
      <c r="AT37" s="60">
        <f t="shared" si="2"/>
        <v>18400</v>
      </c>
      <c r="AU37" s="23">
        <f t="shared" si="3"/>
        <v>6.5932971960208416E-3</v>
      </c>
    </row>
    <row r="38" spans="1:48" x14ac:dyDescent="0.2">
      <c r="A38" s="2" t="s">
        <v>61</v>
      </c>
      <c r="B38" s="26">
        <v>0</v>
      </c>
      <c r="C38" s="26">
        <v>0</v>
      </c>
      <c r="D38" s="26">
        <v>0</v>
      </c>
      <c r="E38" s="26">
        <v>0</v>
      </c>
      <c r="F38" s="26">
        <v>0</v>
      </c>
      <c r="G38" s="26">
        <v>0</v>
      </c>
      <c r="H38" s="26"/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/>
      <c r="O38" s="26"/>
      <c r="P38" s="26"/>
      <c r="Q38" s="26"/>
      <c r="R38" s="26">
        <v>0</v>
      </c>
      <c r="S38" s="26">
        <v>0</v>
      </c>
      <c r="T38" s="26">
        <v>0</v>
      </c>
      <c r="U38" s="26"/>
      <c r="V38" s="26">
        <v>0</v>
      </c>
      <c r="W38" s="26"/>
      <c r="X38" s="26"/>
      <c r="Y38" s="26"/>
      <c r="Z38" s="26">
        <v>0</v>
      </c>
      <c r="AA38" s="26">
        <v>0</v>
      </c>
      <c r="AB38" s="26"/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/>
      <c r="AK38" s="26">
        <v>0</v>
      </c>
      <c r="AL38" s="26"/>
      <c r="AM38" s="26">
        <v>0</v>
      </c>
      <c r="AN38" s="26"/>
      <c r="AO38" s="26">
        <v>0</v>
      </c>
      <c r="AP38" s="26">
        <v>0</v>
      </c>
      <c r="AQ38" s="26">
        <v>0</v>
      </c>
      <c r="AR38" s="26"/>
      <c r="AS38" s="26">
        <v>0</v>
      </c>
      <c r="AT38" s="60">
        <f t="shared" si="2"/>
        <v>0</v>
      </c>
      <c r="AU38" s="23">
        <f t="shared" si="3"/>
        <v>0</v>
      </c>
    </row>
    <row r="39" spans="1:48" x14ac:dyDescent="0.2">
      <c r="A39" s="76" t="s">
        <v>105</v>
      </c>
      <c r="B39" s="26">
        <v>1186</v>
      </c>
      <c r="C39" s="26">
        <v>0</v>
      </c>
      <c r="D39" s="26">
        <v>0</v>
      </c>
      <c r="E39" s="26">
        <v>0</v>
      </c>
      <c r="F39" s="26">
        <v>0</v>
      </c>
      <c r="G39" s="26">
        <v>0</v>
      </c>
      <c r="H39" s="26"/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/>
      <c r="O39" s="26"/>
      <c r="P39" s="26"/>
      <c r="Q39" s="26"/>
      <c r="R39" s="26">
        <v>0</v>
      </c>
      <c r="S39" s="26">
        <v>0</v>
      </c>
      <c r="T39" s="26">
        <v>0</v>
      </c>
      <c r="U39" s="26"/>
      <c r="V39" s="26">
        <v>0</v>
      </c>
      <c r="W39" s="26"/>
      <c r="X39" s="26"/>
      <c r="Y39" s="26"/>
      <c r="Z39" s="26">
        <v>0</v>
      </c>
      <c r="AA39" s="26">
        <v>0</v>
      </c>
      <c r="AB39" s="26"/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6"/>
      <c r="AK39" s="26">
        <v>0</v>
      </c>
      <c r="AL39" s="26"/>
      <c r="AM39" s="26">
        <v>0</v>
      </c>
      <c r="AN39" s="26"/>
      <c r="AO39" s="26">
        <v>0</v>
      </c>
      <c r="AP39" s="26">
        <v>0</v>
      </c>
      <c r="AQ39" s="26">
        <v>0</v>
      </c>
      <c r="AR39" s="26"/>
      <c r="AS39" s="26">
        <v>0</v>
      </c>
      <c r="AT39" s="60">
        <f t="shared" si="2"/>
        <v>1186</v>
      </c>
      <c r="AU39" s="23">
        <f t="shared" si="3"/>
        <v>4.2498100404786513E-4</v>
      </c>
    </row>
    <row r="40" spans="1:48" x14ac:dyDescent="0.2">
      <c r="A40" s="2" t="s">
        <v>62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/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/>
      <c r="O40" s="26"/>
      <c r="P40" s="26"/>
      <c r="Q40" s="26"/>
      <c r="R40" s="26">
        <v>0</v>
      </c>
      <c r="S40" s="26">
        <v>0</v>
      </c>
      <c r="T40" s="26">
        <v>0</v>
      </c>
      <c r="U40" s="26"/>
      <c r="V40" s="26">
        <v>0</v>
      </c>
      <c r="W40" s="26"/>
      <c r="X40" s="26"/>
      <c r="Y40" s="26"/>
      <c r="Z40" s="26">
        <v>0</v>
      </c>
      <c r="AA40" s="26">
        <v>0</v>
      </c>
      <c r="AB40" s="26"/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/>
      <c r="AK40" s="26">
        <v>0</v>
      </c>
      <c r="AL40" s="26"/>
      <c r="AM40" s="26"/>
      <c r="AN40" s="26"/>
      <c r="AO40" s="26">
        <v>0</v>
      </c>
      <c r="AP40" s="26">
        <v>0</v>
      </c>
      <c r="AQ40" s="26">
        <v>0</v>
      </c>
      <c r="AR40" s="26"/>
      <c r="AS40" s="26">
        <v>565000</v>
      </c>
      <c r="AT40" s="60">
        <f t="shared" si="2"/>
        <v>565000</v>
      </c>
      <c r="AU40" s="23">
        <f t="shared" si="3"/>
        <v>0.20245722368216171</v>
      </c>
      <c r="AV40" s="2" t="s">
        <v>68</v>
      </c>
    </row>
    <row r="41" spans="1:48" x14ac:dyDescent="0.2">
      <c r="A41" s="2" t="s">
        <v>63</v>
      </c>
      <c r="B41" s="26">
        <v>0</v>
      </c>
      <c r="C41" s="26">
        <v>0</v>
      </c>
      <c r="D41" s="26">
        <v>0</v>
      </c>
      <c r="E41" s="26">
        <v>0</v>
      </c>
      <c r="F41" s="26">
        <v>0</v>
      </c>
      <c r="G41" s="26">
        <v>0</v>
      </c>
      <c r="H41" s="26"/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/>
      <c r="O41" s="26"/>
      <c r="P41" s="26"/>
      <c r="Q41" s="26"/>
      <c r="R41" s="26">
        <v>0</v>
      </c>
      <c r="S41" s="26">
        <v>0</v>
      </c>
      <c r="T41" s="26">
        <v>0</v>
      </c>
      <c r="U41" s="26"/>
      <c r="V41" s="26">
        <v>0</v>
      </c>
      <c r="W41" s="26"/>
      <c r="X41" s="26"/>
      <c r="Y41" s="26"/>
      <c r="Z41" s="26">
        <v>0</v>
      </c>
      <c r="AA41" s="26">
        <v>0</v>
      </c>
      <c r="AB41" s="26"/>
      <c r="AC41" s="26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26">
        <v>0</v>
      </c>
      <c r="AJ41" s="26"/>
      <c r="AK41" s="26">
        <v>0</v>
      </c>
      <c r="AL41" s="26"/>
      <c r="AM41" s="26"/>
      <c r="AN41" s="26"/>
      <c r="AO41" s="26">
        <v>0</v>
      </c>
      <c r="AP41" s="26">
        <v>0</v>
      </c>
      <c r="AQ41" s="26">
        <v>0</v>
      </c>
      <c r="AR41" s="26"/>
      <c r="AS41" s="26">
        <v>1082.24</v>
      </c>
      <c r="AT41" s="60">
        <f t="shared" si="2"/>
        <v>1082.24</v>
      </c>
      <c r="AU41" s="23">
        <f t="shared" si="3"/>
        <v>3.8780054116421716E-4</v>
      </c>
    </row>
    <row r="42" spans="1:48" x14ac:dyDescent="0.2">
      <c r="A42" s="2" t="s">
        <v>81</v>
      </c>
      <c r="B42" s="26">
        <v>109.31000000000006</v>
      </c>
      <c r="C42" s="26">
        <v>215.29999999999995</v>
      </c>
      <c r="D42" s="26">
        <v>103.78999999999996</v>
      </c>
      <c r="E42" s="26">
        <v>188.05999999999995</v>
      </c>
      <c r="F42" s="26">
        <v>0</v>
      </c>
      <c r="G42" s="26">
        <v>160.77999999999997</v>
      </c>
      <c r="H42" s="26"/>
      <c r="I42" s="26">
        <v>112.66999999999996</v>
      </c>
      <c r="J42" s="26">
        <v>66.730000000000018</v>
      </c>
      <c r="K42" s="26">
        <v>0</v>
      </c>
      <c r="L42" s="26">
        <v>104.33000000000004</v>
      </c>
      <c r="M42" s="26">
        <v>183.11000000000013</v>
      </c>
      <c r="N42" s="26"/>
      <c r="O42" s="26"/>
      <c r="P42" s="26"/>
      <c r="Q42" s="26"/>
      <c r="R42" s="26">
        <v>127.63</v>
      </c>
      <c r="S42" s="26">
        <v>133.45000000000005</v>
      </c>
      <c r="T42" s="26">
        <v>160.78000000000009</v>
      </c>
      <c r="U42" s="26"/>
      <c r="V42" s="26">
        <v>25.730000000000018</v>
      </c>
      <c r="W42" s="26"/>
      <c r="X42" s="26"/>
      <c r="Y42" s="26"/>
      <c r="Z42" s="26">
        <v>68.319999999999993</v>
      </c>
      <c r="AA42" s="26">
        <v>114.78999999999996</v>
      </c>
      <c r="AB42" s="26"/>
      <c r="AC42" s="26">
        <v>172.36999999999989</v>
      </c>
      <c r="AD42" s="26">
        <v>106.63999999999999</v>
      </c>
      <c r="AE42" s="26">
        <v>0</v>
      </c>
      <c r="AF42" s="26">
        <v>196.40999999999997</v>
      </c>
      <c r="AG42" s="26">
        <v>0</v>
      </c>
      <c r="AH42" s="26">
        <v>151.21000000000004</v>
      </c>
      <c r="AI42" s="26">
        <v>202.82999999999993</v>
      </c>
      <c r="AJ42" s="26"/>
      <c r="AK42" s="26">
        <v>104.19999999999993</v>
      </c>
      <c r="AL42" s="26"/>
      <c r="AM42" s="26"/>
      <c r="AN42" s="26"/>
      <c r="AO42" s="26">
        <v>75.610000000000014</v>
      </c>
      <c r="AP42" s="26">
        <v>68.319999999999993</v>
      </c>
      <c r="AQ42" s="26">
        <v>0</v>
      </c>
      <c r="AR42" s="26"/>
      <c r="AS42" s="26">
        <v>307.85000000000002</v>
      </c>
      <c r="AT42" s="60">
        <f t="shared" si="2"/>
        <v>3260.22</v>
      </c>
      <c r="AU42" s="23">
        <f t="shared" si="3"/>
        <v>1.1682390969788624E-3</v>
      </c>
    </row>
    <row r="43" spans="1:48" x14ac:dyDescent="0.2">
      <c r="A43" s="2" t="s">
        <v>64</v>
      </c>
      <c r="B43" s="26">
        <v>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/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/>
      <c r="O43" s="26"/>
      <c r="P43" s="26"/>
      <c r="Q43" s="26"/>
      <c r="R43" s="26">
        <v>0</v>
      </c>
      <c r="S43" s="26">
        <v>0</v>
      </c>
      <c r="T43" s="26">
        <v>0</v>
      </c>
      <c r="U43" s="26"/>
      <c r="V43" s="26">
        <v>0</v>
      </c>
      <c r="W43" s="26"/>
      <c r="X43" s="26"/>
      <c r="Y43" s="26"/>
      <c r="Z43" s="26">
        <v>0</v>
      </c>
      <c r="AA43" s="26">
        <v>0</v>
      </c>
      <c r="AB43" s="26"/>
      <c r="AC43" s="26"/>
      <c r="AD43" s="26">
        <v>0</v>
      </c>
      <c r="AE43" s="26">
        <v>0</v>
      </c>
      <c r="AF43" s="26">
        <v>0</v>
      </c>
      <c r="AG43" s="26">
        <v>0</v>
      </c>
      <c r="AH43" s="26">
        <v>1500</v>
      </c>
      <c r="AI43" s="26">
        <v>0</v>
      </c>
      <c r="AJ43" s="26"/>
      <c r="AK43" s="26">
        <v>0</v>
      </c>
      <c r="AL43" s="26"/>
      <c r="AM43" s="26"/>
      <c r="AN43" s="26"/>
      <c r="AO43" s="26">
        <v>0</v>
      </c>
      <c r="AP43" s="26">
        <v>0</v>
      </c>
      <c r="AQ43" s="26">
        <v>0</v>
      </c>
      <c r="AR43" s="26"/>
      <c r="AS43" s="26">
        <v>76250.28</v>
      </c>
      <c r="AT43" s="60">
        <f t="shared" si="2"/>
        <v>77750.28</v>
      </c>
      <c r="AU43" s="23">
        <f t="shared" si="3"/>
        <v>2.7860364299664965E-2</v>
      </c>
    </row>
    <row r="44" spans="1:48" x14ac:dyDescent="0.2">
      <c r="A44" s="2" t="s">
        <v>66</v>
      </c>
      <c r="B44" s="26">
        <v>0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/>
      <c r="I44" s="26">
        <v>300</v>
      </c>
      <c r="J44" s="26">
        <v>0</v>
      </c>
      <c r="K44" s="26">
        <v>0</v>
      </c>
      <c r="L44" s="26">
        <v>0</v>
      </c>
      <c r="M44" s="26">
        <v>0</v>
      </c>
      <c r="N44" s="26"/>
      <c r="O44" s="26"/>
      <c r="P44" s="26"/>
      <c r="Q44" s="26"/>
      <c r="R44" s="26">
        <v>0</v>
      </c>
      <c r="S44" s="26">
        <v>0</v>
      </c>
      <c r="T44" s="26">
        <v>0</v>
      </c>
      <c r="U44" s="26"/>
      <c r="V44" s="26">
        <v>0</v>
      </c>
      <c r="W44" s="26"/>
      <c r="X44" s="26"/>
      <c r="Y44" s="26"/>
      <c r="Z44" s="26">
        <v>0</v>
      </c>
      <c r="AA44" s="26">
        <v>0</v>
      </c>
      <c r="AB44" s="26"/>
      <c r="AC44" s="26"/>
      <c r="AD44" s="26">
        <v>0</v>
      </c>
      <c r="AE44" s="26">
        <v>0</v>
      </c>
      <c r="AF44" s="26">
        <v>0</v>
      </c>
      <c r="AG44" s="26">
        <v>0</v>
      </c>
      <c r="AH44" s="26">
        <v>0</v>
      </c>
      <c r="AI44" s="26">
        <v>0</v>
      </c>
      <c r="AJ44" s="26"/>
      <c r="AK44" s="26">
        <v>0</v>
      </c>
      <c r="AL44" s="26"/>
      <c r="AM44" s="26"/>
      <c r="AN44" s="26"/>
      <c r="AO44" s="26">
        <v>0</v>
      </c>
      <c r="AP44" s="26">
        <v>960</v>
      </c>
      <c r="AQ44" s="26">
        <v>100</v>
      </c>
      <c r="AR44" s="26"/>
      <c r="AS44" s="26">
        <v>4172.42</v>
      </c>
      <c r="AT44" s="60">
        <f t="shared" si="2"/>
        <v>5532.42</v>
      </c>
      <c r="AU44" s="23">
        <f t="shared" si="3"/>
        <v>1.9824396344135667E-3</v>
      </c>
    </row>
    <row r="45" spans="1:48" ht="12.75" thickBot="1" x14ac:dyDescent="0.25">
      <c r="A45" s="14" t="s">
        <v>67</v>
      </c>
      <c r="B45" s="27">
        <f>SUM(B15:B44)</f>
        <v>181433.24000000002</v>
      </c>
      <c r="C45" s="27">
        <f t="shared" ref="C45:AS45" si="4">SUM(C15:C44)</f>
        <v>985.80999999999972</v>
      </c>
      <c r="D45" s="27">
        <f t="shared" si="4"/>
        <v>35508.730000000003</v>
      </c>
      <c r="E45" s="27">
        <f t="shared" si="4"/>
        <v>62615.839999999989</v>
      </c>
      <c r="F45" s="27">
        <f t="shared" si="4"/>
        <v>177008.31000000011</v>
      </c>
      <c r="G45" s="27">
        <f t="shared" si="4"/>
        <v>39537.19000000001</v>
      </c>
      <c r="H45" s="27">
        <f t="shared" si="4"/>
        <v>0</v>
      </c>
      <c r="I45" s="27">
        <f t="shared" si="4"/>
        <v>250190.72000000003</v>
      </c>
      <c r="J45" s="27">
        <f t="shared" si="4"/>
        <v>110948.34000000003</v>
      </c>
      <c r="K45" s="27">
        <f t="shared" si="4"/>
        <v>14369.59</v>
      </c>
      <c r="L45" s="27">
        <f t="shared" si="4"/>
        <v>55376.680000000037</v>
      </c>
      <c r="M45" s="27">
        <f t="shared" si="4"/>
        <v>31451.200000000001</v>
      </c>
      <c r="N45" s="27">
        <f t="shared" si="4"/>
        <v>0</v>
      </c>
      <c r="O45" s="27">
        <f t="shared" si="4"/>
        <v>0</v>
      </c>
      <c r="P45" s="27">
        <f t="shared" si="4"/>
        <v>0</v>
      </c>
      <c r="Q45" s="27">
        <f t="shared" si="4"/>
        <v>0</v>
      </c>
      <c r="R45" s="27">
        <f t="shared" si="4"/>
        <v>43049.980000000025</v>
      </c>
      <c r="S45" s="27">
        <f t="shared" si="4"/>
        <v>50112.820000000022</v>
      </c>
      <c r="T45" s="27">
        <f t="shared" si="4"/>
        <v>32666.289999999997</v>
      </c>
      <c r="U45" s="27">
        <f t="shared" si="4"/>
        <v>0</v>
      </c>
      <c r="V45" s="27">
        <f t="shared" si="4"/>
        <v>37793.930000000058</v>
      </c>
      <c r="W45" s="27">
        <f t="shared" si="4"/>
        <v>0</v>
      </c>
      <c r="X45" s="27">
        <f t="shared" si="4"/>
        <v>0</v>
      </c>
      <c r="Y45" s="27">
        <f t="shared" si="4"/>
        <v>0</v>
      </c>
      <c r="Z45" s="27">
        <f t="shared" si="4"/>
        <v>12511.899999999998</v>
      </c>
      <c r="AA45" s="27">
        <f t="shared" si="4"/>
        <v>20974.73</v>
      </c>
      <c r="AB45" s="27">
        <f t="shared" si="4"/>
        <v>0</v>
      </c>
      <c r="AC45" s="27">
        <f t="shared" si="4"/>
        <v>49406.750000000007</v>
      </c>
      <c r="AD45" s="27">
        <f t="shared" si="4"/>
        <v>21510.259999999991</v>
      </c>
      <c r="AE45" s="27">
        <f t="shared" si="4"/>
        <v>12226.89</v>
      </c>
      <c r="AF45" s="27">
        <f t="shared" si="4"/>
        <v>39937.51999999999</v>
      </c>
      <c r="AG45" s="27">
        <f t="shared" si="4"/>
        <v>0</v>
      </c>
      <c r="AH45" s="27">
        <f t="shared" si="4"/>
        <v>165290.62000000011</v>
      </c>
      <c r="AI45" s="27">
        <f t="shared" si="4"/>
        <v>35271.870000000003</v>
      </c>
      <c r="AJ45" s="27">
        <f t="shared" si="4"/>
        <v>0</v>
      </c>
      <c r="AK45" s="27">
        <f t="shared" si="4"/>
        <v>26780.660000000007</v>
      </c>
      <c r="AL45" s="27">
        <f>SUM(AL15:AL44)</f>
        <v>0</v>
      </c>
      <c r="AM45" s="27">
        <f>SUM(AM15:AM44)</f>
        <v>23296.029999999995</v>
      </c>
      <c r="AN45" s="27">
        <f t="shared" ref="AN45:AR45" si="5">SUM(AN15:AN44)</f>
        <v>0</v>
      </c>
      <c r="AO45" s="27">
        <f t="shared" si="5"/>
        <v>12694.279999999999</v>
      </c>
      <c r="AP45" s="27">
        <f t="shared" si="5"/>
        <v>105413.55000000013</v>
      </c>
      <c r="AQ45" s="27">
        <f t="shared" si="5"/>
        <v>10909.259999999998</v>
      </c>
      <c r="AR45" s="27">
        <f t="shared" si="5"/>
        <v>0</v>
      </c>
      <c r="AS45" s="27">
        <f t="shared" si="4"/>
        <v>1131439.98</v>
      </c>
      <c r="AT45" s="27">
        <f>SUM(AT15:AT44)</f>
        <v>2790712.9700000007</v>
      </c>
      <c r="AU45" s="10">
        <f>SUM(AU15:AU44)</f>
        <v>1</v>
      </c>
      <c r="AV45" s="53"/>
    </row>
    <row r="46" spans="1:48" ht="12.75" thickTop="1" x14ac:dyDescent="0.2">
      <c r="D46" s="2" t="s">
        <v>68</v>
      </c>
      <c r="E46" s="2" t="s">
        <v>68</v>
      </c>
      <c r="F46" s="2" t="s">
        <v>68</v>
      </c>
      <c r="G46" s="2" t="s">
        <v>68</v>
      </c>
      <c r="H46" s="2" t="s">
        <v>68</v>
      </c>
      <c r="I46" s="2" t="s">
        <v>68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68</v>
      </c>
      <c r="Q46" s="2" t="s">
        <v>68</v>
      </c>
      <c r="R46" s="2" t="s">
        <v>68</v>
      </c>
      <c r="S46" s="2" t="s">
        <v>68</v>
      </c>
      <c r="AT46" s="29" t="s">
        <v>68</v>
      </c>
    </row>
    <row r="47" spans="1:48" ht="12.75" thickBot="1" x14ac:dyDescent="0.25">
      <c r="A47" s="14" t="s">
        <v>69</v>
      </c>
      <c r="B47" s="14">
        <f>+B13-B45</f>
        <v>131566.75999999998</v>
      </c>
      <c r="C47" s="14">
        <f t="shared" ref="C47:Z47" si="6">+C13-C45</f>
        <v>104514.19</v>
      </c>
      <c r="D47" s="14">
        <f t="shared" si="6"/>
        <v>21241.269999999997</v>
      </c>
      <c r="E47" s="14">
        <f t="shared" si="6"/>
        <v>45034.159999999894</v>
      </c>
      <c r="F47" s="14">
        <f t="shared" si="6"/>
        <v>95891.689999999886</v>
      </c>
      <c r="G47" s="14">
        <f>+G13-G45</f>
        <v>19212.80999999999</v>
      </c>
      <c r="H47" s="14">
        <f t="shared" si="6"/>
        <v>0</v>
      </c>
      <c r="I47" s="14">
        <f t="shared" si="6"/>
        <v>214709.27999999997</v>
      </c>
      <c r="J47" s="14">
        <f t="shared" si="6"/>
        <v>76059.770000000077</v>
      </c>
      <c r="K47" s="14">
        <f t="shared" si="6"/>
        <v>4630.41</v>
      </c>
      <c r="L47" s="14">
        <f t="shared" si="6"/>
        <v>32923.319999999963</v>
      </c>
      <c r="M47" s="14">
        <f t="shared" si="6"/>
        <v>43748.800000000003</v>
      </c>
      <c r="N47" s="14">
        <f t="shared" si="6"/>
        <v>0</v>
      </c>
      <c r="O47" s="14">
        <f t="shared" si="6"/>
        <v>0</v>
      </c>
      <c r="P47" s="14">
        <f t="shared" si="6"/>
        <v>0</v>
      </c>
      <c r="Q47" s="14">
        <f t="shared" si="6"/>
        <v>0</v>
      </c>
      <c r="R47" s="14">
        <f t="shared" si="6"/>
        <v>54700.019999999975</v>
      </c>
      <c r="S47" s="14">
        <f t="shared" si="6"/>
        <v>67887.179999999978</v>
      </c>
      <c r="T47" s="14">
        <f t="shared" si="6"/>
        <v>23083.710000000003</v>
      </c>
      <c r="U47" s="14">
        <f t="shared" si="6"/>
        <v>0</v>
      </c>
      <c r="V47" s="14">
        <f t="shared" si="6"/>
        <v>16206.069999999942</v>
      </c>
      <c r="W47" s="14">
        <f t="shared" si="6"/>
        <v>0</v>
      </c>
      <c r="X47" s="14">
        <f t="shared" si="6"/>
        <v>0</v>
      </c>
      <c r="Y47" s="14">
        <f>+Y13-Y45</f>
        <v>0</v>
      </c>
      <c r="Z47" s="14">
        <f t="shared" si="6"/>
        <v>23488.100000000002</v>
      </c>
      <c r="AA47" s="14">
        <f>+AA13-AA45</f>
        <v>17025.27</v>
      </c>
      <c r="AB47" s="14">
        <f>+AB13-AB45</f>
        <v>0</v>
      </c>
      <c r="AC47" s="14">
        <f>+AC13-AC45</f>
        <v>37093.249999999993</v>
      </c>
      <c r="AD47" s="14">
        <f>+AD13-AD45</f>
        <v>16489.740000000009</v>
      </c>
      <c r="AE47" s="14">
        <f t="shared" ref="AE47:AJ47" si="7">+AE13-AE45</f>
        <v>7273.1100000000006</v>
      </c>
      <c r="AF47" s="14">
        <f t="shared" si="7"/>
        <v>44562.48000000001</v>
      </c>
      <c r="AG47" s="14">
        <f t="shared" si="7"/>
        <v>0</v>
      </c>
      <c r="AH47" s="14">
        <f t="shared" si="7"/>
        <v>106209.37999999989</v>
      </c>
      <c r="AI47" s="14">
        <f t="shared" si="7"/>
        <v>20478.129999999997</v>
      </c>
      <c r="AJ47" s="14">
        <f t="shared" si="7"/>
        <v>0</v>
      </c>
      <c r="AK47" s="14">
        <f>+AK13-AK45</f>
        <v>30419.339999999993</v>
      </c>
      <c r="AL47" s="14">
        <f>+AL13-AL45</f>
        <v>0</v>
      </c>
      <c r="AM47" s="14">
        <f>+AM13-AM45</f>
        <v>17703.970000000005</v>
      </c>
      <c r="AN47" s="14">
        <f t="shared" ref="AN47:AS47" si="8">+AN13-AN45</f>
        <v>38000</v>
      </c>
      <c r="AO47" s="14">
        <f t="shared" si="8"/>
        <v>5805.7200000000012</v>
      </c>
      <c r="AP47" s="14">
        <f t="shared" si="8"/>
        <v>126586.44999999987</v>
      </c>
      <c r="AQ47" s="14">
        <f t="shared" si="8"/>
        <v>7790.7400000000016</v>
      </c>
      <c r="AR47" s="14">
        <f t="shared" si="8"/>
        <v>0</v>
      </c>
      <c r="AS47" s="14">
        <f t="shared" si="8"/>
        <v>-1131439.98</v>
      </c>
      <c r="AT47" s="14">
        <f>SUM(B47:AS47)</f>
        <v>318895.13999999943</v>
      </c>
      <c r="AU47" s="108"/>
    </row>
    <row r="48" spans="1:48" ht="12.75" thickTop="1" x14ac:dyDescent="0.2"/>
    <row r="49" spans="1:47" x14ac:dyDescent="0.2">
      <c r="A49" s="2" t="s">
        <v>70</v>
      </c>
      <c r="B49" s="2">
        <f>9900+30800</f>
        <v>40700</v>
      </c>
      <c r="C49" s="2">
        <f>14700+7350</f>
        <v>22050</v>
      </c>
      <c r="D49" s="2">
        <f>2700+4650</f>
        <v>7350</v>
      </c>
      <c r="E49" s="2">
        <v>12600</v>
      </c>
      <c r="F49" s="2">
        <f>11700+27600</f>
        <v>39300</v>
      </c>
      <c r="G49" s="2">
        <v>800</v>
      </c>
      <c r="I49" s="2">
        <f>8400+300+56966.66</f>
        <v>65666.66</v>
      </c>
      <c r="J49" s="2">
        <f>15600+24348.07</f>
        <v>39948.07</v>
      </c>
      <c r="L49" s="2">
        <f>1800+10100</f>
        <v>11900</v>
      </c>
      <c r="M49" s="2">
        <f>2700+2150</f>
        <v>4850</v>
      </c>
      <c r="R49" s="2">
        <f>4200+14606.65</f>
        <v>18806.650000000001</v>
      </c>
      <c r="S49" s="2">
        <f>9300+12700</f>
        <v>22000</v>
      </c>
      <c r="T49" s="2">
        <f>3900+5400</f>
        <v>9300</v>
      </c>
      <c r="Z49" s="2">
        <f>2400+2450</f>
        <v>4850</v>
      </c>
      <c r="AA49" s="2">
        <f>2700+4550</f>
        <v>7250</v>
      </c>
      <c r="AC49" s="2">
        <f>3300+10430</f>
        <v>13730</v>
      </c>
      <c r="AD49" s="2">
        <v>4400</v>
      </c>
      <c r="AF49" s="2">
        <f>10500+9050</f>
        <v>19550</v>
      </c>
      <c r="AH49" s="2">
        <f>17700+26250</f>
        <v>43950</v>
      </c>
      <c r="AI49" s="2">
        <f>4800+2246.66</f>
        <v>7046.66</v>
      </c>
      <c r="AK49" s="2">
        <f>4500+4650</f>
        <v>9150</v>
      </c>
      <c r="AM49" s="2">
        <f>1500+2600</f>
        <v>4100</v>
      </c>
      <c r="AN49" s="2">
        <v>18000</v>
      </c>
      <c r="AO49" s="2">
        <v>500</v>
      </c>
      <c r="AP49" s="2">
        <f>32100+23283.32</f>
        <v>55383.32</v>
      </c>
      <c r="AQ49" s="2">
        <v>1650</v>
      </c>
      <c r="AR49" s="2">
        <v>300</v>
      </c>
      <c r="AS49" s="2">
        <v>13962.5</v>
      </c>
      <c r="AT49" s="29">
        <f>SUM(B49:AS49)</f>
        <v>499093.86</v>
      </c>
      <c r="AU49" s="2"/>
    </row>
    <row r="50" spans="1:47" s="25" customFormat="1" x14ac:dyDescent="0.2">
      <c r="A50" s="37" t="s">
        <v>71</v>
      </c>
      <c r="B50" s="37">
        <f>+B47-B49</f>
        <v>90866.75999999998</v>
      </c>
      <c r="C50" s="37">
        <f t="shared" ref="C50:AS50" si="9">+C47-C49</f>
        <v>82464.19</v>
      </c>
      <c r="D50" s="37">
        <f t="shared" si="9"/>
        <v>13891.269999999997</v>
      </c>
      <c r="E50" s="37">
        <f t="shared" si="9"/>
        <v>32434.159999999894</v>
      </c>
      <c r="F50" s="37">
        <f t="shared" si="9"/>
        <v>56591.689999999886</v>
      </c>
      <c r="G50" s="37">
        <f t="shared" si="9"/>
        <v>18412.80999999999</v>
      </c>
      <c r="H50" s="37">
        <f t="shared" si="9"/>
        <v>0</v>
      </c>
      <c r="I50" s="37">
        <f t="shared" si="9"/>
        <v>149042.61999999997</v>
      </c>
      <c r="J50" s="37">
        <f t="shared" si="9"/>
        <v>36111.700000000077</v>
      </c>
      <c r="K50" s="37">
        <f t="shared" si="9"/>
        <v>4630.41</v>
      </c>
      <c r="L50" s="37">
        <f t="shared" si="9"/>
        <v>21023.319999999963</v>
      </c>
      <c r="M50" s="37">
        <f t="shared" si="9"/>
        <v>38898.800000000003</v>
      </c>
      <c r="N50" s="37">
        <f t="shared" si="9"/>
        <v>0</v>
      </c>
      <c r="O50" s="37">
        <f t="shared" si="9"/>
        <v>0</v>
      </c>
      <c r="P50" s="37">
        <f t="shared" si="9"/>
        <v>0</v>
      </c>
      <c r="Q50" s="37">
        <f t="shared" si="9"/>
        <v>0</v>
      </c>
      <c r="R50" s="37">
        <f t="shared" si="9"/>
        <v>35893.369999999974</v>
      </c>
      <c r="S50" s="37">
        <f t="shared" si="9"/>
        <v>45887.179999999978</v>
      </c>
      <c r="T50" s="37">
        <f t="shared" si="9"/>
        <v>13783.710000000003</v>
      </c>
      <c r="U50" s="37">
        <f t="shared" si="9"/>
        <v>0</v>
      </c>
      <c r="V50" s="37">
        <f t="shared" si="9"/>
        <v>16206.069999999942</v>
      </c>
      <c r="W50" s="37">
        <f t="shared" si="9"/>
        <v>0</v>
      </c>
      <c r="X50" s="37">
        <f t="shared" si="9"/>
        <v>0</v>
      </c>
      <c r="Y50" s="37">
        <f t="shared" si="9"/>
        <v>0</v>
      </c>
      <c r="Z50" s="37">
        <f t="shared" si="9"/>
        <v>18638.100000000002</v>
      </c>
      <c r="AA50" s="37">
        <f t="shared" si="9"/>
        <v>9775.27</v>
      </c>
      <c r="AB50" s="37">
        <f t="shared" si="9"/>
        <v>0</v>
      </c>
      <c r="AC50" s="37">
        <f t="shared" si="9"/>
        <v>23363.249999999993</v>
      </c>
      <c r="AD50" s="37">
        <f t="shared" si="9"/>
        <v>12089.740000000009</v>
      </c>
      <c r="AE50" s="37">
        <f t="shared" si="9"/>
        <v>7273.1100000000006</v>
      </c>
      <c r="AF50" s="37">
        <f t="shared" si="9"/>
        <v>25012.48000000001</v>
      </c>
      <c r="AG50" s="37">
        <f t="shared" si="9"/>
        <v>0</v>
      </c>
      <c r="AH50" s="37">
        <f t="shared" si="9"/>
        <v>62259.379999999888</v>
      </c>
      <c r="AI50" s="37">
        <f t="shared" si="9"/>
        <v>13431.469999999998</v>
      </c>
      <c r="AJ50" s="37">
        <f t="shared" si="9"/>
        <v>0</v>
      </c>
      <c r="AK50" s="37">
        <f t="shared" si="9"/>
        <v>21269.339999999993</v>
      </c>
      <c r="AL50" s="37">
        <f t="shared" si="9"/>
        <v>0</v>
      </c>
      <c r="AM50" s="37">
        <f t="shared" si="9"/>
        <v>13603.970000000005</v>
      </c>
      <c r="AN50" s="37">
        <f t="shared" si="9"/>
        <v>20000</v>
      </c>
      <c r="AO50" s="37">
        <f t="shared" si="9"/>
        <v>5305.7200000000012</v>
      </c>
      <c r="AP50" s="37">
        <f t="shared" si="9"/>
        <v>71203.129999999859</v>
      </c>
      <c r="AQ50" s="37">
        <f t="shared" si="9"/>
        <v>6140.7400000000016</v>
      </c>
      <c r="AR50" s="37">
        <f t="shared" si="9"/>
        <v>-300</v>
      </c>
      <c r="AS50" s="37">
        <f t="shared" si="9"/>
        <v>-1145402.48</v>
      </c>
      <c r="AT50" s="38">
        <f>SUM(B50:AS50)-AT53-AT54-AT55+AT56</f>
        <v>213508.56889999914</v>
      </c>
      <c r="AU50" s="40"/>
    </row>
    <row r="51" spans="1:47" x14ac:dyDescent="0.2">
      <c r="AT51" s="18">
        <v>213508.56</v>
      </c>
      <c r="AU51" s="28" t="s">
        <v>72</v>
      </c>
    </row>
    <row r="52" spans="1:47" x14ac:dyDescent="0.2">
      <c r="AT52" s="47">
        <f>+AT50-AT51</f>
        <v>8.8999991421587765E-3</v>
      </c>
      <c r="AU52" s="48" t="s">
        <v>82</v>
      </c>
    </row>
    <row r="53" spans="1:47" x14ac:dyDescent="0.2">
      <c r="A53" s="45" t="s">
        <v>78</v>
      </c>
      <c r="B53" s="45"/>
      <c r="C53" s="45"/>
      <c r="D53" s="45"/>
      <c r="E53" s="45">
        <f>+E50*8.5%</f>
        <v>2756.903599999991</v>
      </c>
      <c r="F53" s="45"/>
      <c r="G53" s="45">
        <f>+G50*8.5%</f>
        <v>1565.0888499999992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>
        <f>+V50*8.5%</f>
        <v>1377.5159499999952</v>
      </c>
      <c r="W53" s="45">
        <f>+W50*8.5%</f>
        <v>0</v>
      </c>
      <c r="X53" s="45"/>
      <c r="Y53" s="45">
        <f>+Y50*8.5%</f>
        <v>0</v>
      </c>
      <c r="Z53" s="45">
        <f>+Z50*8.5%</f>
        <v>1584.2385000000004</v>
      </c>
      <c r="AA53" s="45">
        <f>+AA50*8.5%</f>
        <v>830.89795000000015</v>
      </c>
      <c r="AB53" s="45"/>
      <c r="AC53" s="45">
        <f>(AC50-AC54)*8.5%</f>
        <v>1773.3762499999996</v>
      </c>
      <c r="AD53" s="45"/>
      <c r="AE53" s="45"/>
      <c r="AF53" s="45"/>
      <c r="AG53" s="45">
        <f>+AG50*8.5%</f>
        <v>0</v>
      </c>
      <c r="AH53" s="45"/>
      <c r="AI53" s="45"/>
      <c r="AJ53" s="45">
        <f>+AJ50*8.5%</f>
        <v>0</v>
      </c>
      <c r="AK53" s="45"/>
      <c r="AL53" s="45">
        <f>+AL50*8.5%</f>
        <v>0</v>
      </c>
      <c r="AM53" s="45"/>
      <c r="AN53" s="45"/>
      <c r="AO53" s="45"/>
      <c r="AP53" s="45"/>
      <c r="AQ53" s="45"/>
      <c r="AR53" s="45"/>
      <c r="AS53" s="45"/>
      <c r="AT53" s="46">
        <f>SUM(B53:AS53)</f>
        <v>9888.0210999999872</v>
      </c>
    </row>
    <row r="54" spans="1:47" x14ac:dyDescent="0.2">
      <c r="A54" s="45" t="s">
        <v>84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>
        <v>2500</v>
      </c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>
        <v>15804.69</v>
      </c>
      <c r="AT54" s="46">
        <f t="shared" ref="AT54:AT56" si="10">SUM(B54:AS54)</f>
        <v>18304.690000000002</v>
      </c>
    </row>
    <row r="55" spans="1:47" s="1" customFormat="1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50">
        <f>185000+45000</f>
        <v>230000</v>
      </c>
      <c r="AT55" s="46">
        <f t="shared" si="10"/>
        <v>230000</v>
      </c>
    </row>
    <row r="56" spans="1:47" s="1" customFormat="1" x14ac:dyDescent="0.2">
      <c r="A56" s="49" t="s">
        <v>86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>
        <f>598900+53000</f>
        <v>651900</v>
      </c>
      <c r="AT56" s="46">
        <f t="shared" si="10"/>
        <v>651900</v>
      </c>
    </row>
    <row r="58" spans="1:47" s="1" customFormat="1" ht="12.75" x14ac:dyDescent="0.2">
      <c r="A58" s="57" t="s">
        <v>92</v>
      </c>
      <c r="B58" s="57">
        <v>15</v>
      </c>
      <c r="C58" s="57">
        <v>6</v>
      </c>
      <c r="D58" s="57">
        <v>3</v>
      </c>
      <c r="E58" s="57">
        <v>5</v>
      </c>
      <c r="F58" s="57">
        <v>14</v>
      </c>
      <c r="G58" s="57">
        <v>3</v>
      </c>
      <c r="H58" s="57"/>
      <c r="I58" s="57">
        <v>24</v>
      </c>
      <c r="J58" s="57">
        <v>11</v>
      </c>
      <c r="K58" s="57">
        <v>2</v>
      </c>
      <c r="L58" s="57">
        <v>5</v>
      </c>
      <c r="M58" s="57">
        <v>3</v>
      </c>
      <c r="N58" s="57"/>
      <c r="O58" s="57"/>
      <c r="P58" s="57"/>
      <c r="Q58" s="57"/>
      <c r="R58" s="57">
        <v>5</v>
      </c>
      <c r="S58" s="57">
        <v>4</v>
      </c>
      <c r="T58" s="57">
        <v>3</v>
      </c>
      <c r="U58" s="57"/>
      <c r="V58" s="57">
        <v>3</v>
      </c>
      <c r="W58" s="57"/>
      <c r="X58" s="57"/>
      <c r="Y58" s="57"/>
      <c r="Z58" s="57">
        <v>2</v>
      </c>
      <c r="AA58" s="57">
        <v>2</v>
      </c>
      <c r="AB58" s="57"/>
      <c r="AC58" s="57">
        <v>6</v>
      </c>
      <c r="AD58" s="57">
        <v>2</v>
      </c>
      <c r="AE58" s="57">
        <v>1</v>
      </c>
      <c r="AF58" s="57">
        <v>5</v>
      </c>
      <c r="AG58" s="57"/>
      <c r="AH58" s="57">
        <v>14</v>
      </c>
      <c r="AI58" s="57">
        <v>3</v>
      </c>
      <c r="AJ58" s="57"/>
      <c r="AK58" s="57">
        <v>3</v>
      </c>
      <c r="AL58" s="57"/>
      <c r="AM58" s="57">
        <v>3</v>
      </c>
      <c r="AN58" s="57">
        <v>2</v>
      </c>
      <c r="AO58" s="57">
        <v>1</v>
      </c>
      <c r="AP58" s="57">
        <v>12</v>
      </c>
      <c r="AQ58" s="57">
        <v>1</v>
      </c>
      <c r="AR58" s="65">
        <f>SUM(A58:AQ58)</f>
        <v>163</v>
      </c>
      <c r="AS58" s="66" t="s">
        <v>103</v>
      </c>
    </row>
    <row r="59" spans="1:47" s="1" customFormat="1" x14ac:dyDescent="0.2">
      <c r="A59" s="57" t="s">
        <v>91</v>
      </c>
      <c r="B59" s="58">
        <f>+B50/B58</f>
        <v>6057.7839999999987</v>
      </c>
      <c r="C59" s="58">
        <f t="shared" ref="C59:AQ59" si="11">+C50/C58</f>
        <v>13744.031666666668</v>
      </c>
      <c r="D59" s="58">
        <f t="shared" si="11"/>
        <v>4630.4233333333323</v>
      </c>
      <c r="E59" s="58">
        <f t="shared" si="11"/>
        <v>6486.8319999999785</v>
      </c>
      <c r="F59" s="58">
        <f t="shared" si="11"/>
        <v>4042.2635714285634</v>
      </c>
      <c r="G59" s="58">
        <f t="shared" si="11"/>
        <v>6137.6033333333298</v>
      </c>
      <c r="H59" s="58"/>
      <c r="I59" s="58">
        <f t="shared" si="11"/>
        <v>6210.1091666666653</v>
      </c>
      <c r="J59" s="58">
        <f t="shared" si="11"/>
        <v>3282.8818181818251</v>
      </c>
      <c r="K59" s="58">
        <f t="shared" si="11"/>
        <v>2315.2049999999999</v>
      </c>
      <c r="L59" s="58">
        <f t="shared" si="11"/>
        <v>4204.6639999999925</v>
      </c>
      <c r="M59" s="58">
        <f>(M50-M9)/M58</f>
        <v>5766.2666666666673</v>
      </c>
      <c r="N59" s="58"/>
      <c r="O59" s="58"/>
      <c r="P59" s="58"/>
      <c r="Q59" s="58"/>
      <c r="R59" s="58">
        <f t="shared" si="11"/>
        <v>7178.6739999999945</v>
      </c>
      <c r="S59" s="58">
        <f t="shared" si="11"/>
        <v>11471.794999999995</v>
      </c>
      <c r="T59" s="58">
        <f t="shared" si="11"/>
        <v>4594.5700000000006</v>
      </c>
      <c r="U59" s="58"/>
      <c r="V59" s="58">
        <f t="shared" si="11"/>
        <v>5402.0233333333135</v>
      </c>
      <c r="W59" s="58"/>
      <c r="X59" s="58"/>
      <c r="Y59" s="58"/>
      <c r="Z59" s="58">
        <f t="shared" si="11"/>
        <v>9319.0500000000011</v>
      </c>
      <c r="AA59" s="58">
        <f t="shared" si="11"/>
        <v>4887.6350000000002</v>
      </c>
      <c r="AB59" s="58"/>
      <c r="AC59" s="58">
        <f t="shared" si="11"/>
        <v>3893.8749999999986</v>
      </c>
      <c r="AD59" s="58">
        <f t="shared" si="11"/>
        <v>6044.8700000000044</v>
      </c>
      <c r="AE59" s="58">
        <f t="shared" si="11"/>
        <v>7273.1100000000006</v>
      </c>
      <c r="AF59" s="58">
        <f t="shared" si="11"/>
        <v>5002.4960000000019</v>
      </c>
      <c r="AG59" s="58"/>
      <c r="AH59" s="58">
        <f t="shared" si="11"/>
        <v>4447.0985714285634</v>
      </c>
      <c r="AI59" s="58">
        <f t="shared" si="11"/>
        <v>4477.1566666666658</v>
      </c>
      <c r="AJ59" s="58"/>
      <c r="AK59" s="58">
        <f t="shared" si="11"/>
        <v>7089.7799999999979</v>
      </c>
      <c r="AL59" s="58"/>
      <c r="AM59" s="58">
        <f t="shared" si="11"/>
        <v>4534.6566666666686</v>
      </c>
      <c r="AN59" s="58">
        <f t="shared" si="11"/>
        <v>10000</v>
      </c>
      <c r="AO59" s="58">
        <f t="shared" si="11"/>
        <v>5305.7200000000012</v>
      </c>
      <c r="AP59" s="58">
        <f t="shared" si="11"/>
        <v>5933.5941666666549</v>
      </c>
      <c r="AQ59" s="58">
        <f t="shared" si="11"/>
        <v>6140.7400000000016</v>
      </c>
      <c r="AS59" s="32"/>
    </row>
    <row r="60" spans="1:47" s="1" customFormat="1" x14ac:dyDescent="0.2">
      <c r="N60" s="3"/>
      <c r="O60" s="3"/>
      <c r="P60" s="3"/>
      <c r="Q60" s="3"/>
      <c r="R60" s="3"/>
      <c r="S60" s="3"/>
      <c r="T60" s="3"/>
      <c r="U60" s="3"/>
    </row>
    <row r="61" spans="1:47" s="1" customFormat="1" x14ac:dyDescent="0.2">
      <c r="N61" s="3"/>
      <c r="O61" s="3"/>
      <c r="P61" s="3"/>
      <c r="Q61" s="3"/>
      <c r="R61" s="3"/>
      <c r="S61" s="3"/>
      <c r="T61" s="3"/>
      <c r="U61" s="3"/>
    </row>
  </sheetData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01AB-884D-4710-A65C-B5F0E66A8BCA}">
  <dimension ref="A2:AV61"/>
  <sheetViews>
    <sheetView workbookViewId="0">
      <pane xSplit="1" ySplit="7" topLeftCell="B20" activePane="bottomRight" state="frozen"/>
      <selection activeCell="D53" sqref="D53"/>
      <selection pane="topRight" activeCell="D53" sqref="D53"/>
      <selection pane="bottomLeft" activeCell="D53" sqref="D53"/>
      <selection pane="bottomRight" activeCell="B32" sqref="B32"/>
    </sheetView>
  </sheetViews>
  <sheetFormatPr baseColWidth="10" defaultColWidth="11.42578125" defaultRowHeight="12" x14ac:dyDescent="0.2"/>
  <cols>
    <col min="1" max="1" width="20.85546875" style="2" customWidth="1"/>
    <col min="2" max="37" width="11.42578125" style="2"/>
    <col min="38" max="38" width="13.85546875" style="2" bestFit="1" customWidth="1"/>
    <col min="39" max="43" width="13.85546875" style="2" customWidth="1"/>
    <col min="44" max="44" width="11.42578125" style="2"/>
    <col min="45" max="45" width="13.140625" style="2" customWidth="1"/>
    <col min="46" max="46" width="11.42578125" style="29"/>
    <col min="47" max="47" width="11.42578125" style="23"/>
    <col min="48" max="16384" width="11.42578125" style="2"/>
  </cols>
  <sheetData>
    <row r="2" spans="1:48" x14ac:dyDescent="0.2">
      <c r="A2" s="2" t="s">
        <v>80</v>
      </c>
    </row>
    <row r="3" spans="1:48" x14ac:dyDescent="0.2">
      <c r="A3" s="2" t="s">
        <v>0</v>
      </c>
    </row>
    <row r="5" spans="1:48" s="42" customFormat="1" x14ac:dyDescent="0.2">
      <c r="AT5" s="43"/>
      <c r="AU5" s="44"/>
    </row>
    <row r="6" spans="1:48" ht="36" x14ac:dyDescent="0.2">
      <c r="A6" s="35" t="s">
        <v>1</v>
      </c>
      <c r="B6" s="35" t="s">
        <v>2</v>
      </c>
      <c r="C6" s="35" t="s">
        <v>3</v>
      </c>
      <c r="D6" s="35"/>
      <c r="E6" s="35" t="s">
        <v>4</v>
      </c>
      <c r="F6" s="35" t="s">
        <v>5</v>
      </c>
      <c r="G6" s="35" t="s">
        <v>6</v>
      </c>
      <c r="H6" s="35"/>
      <c r="I6" s="35" t="s">
        <v>74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/>
      <c r="P6" s="35" t="s">
        <v>13</v>
      </c>
      <c r="Q6" s="35" t="s">
        <v>14</v>
      </c>
      <c r="R6" s="35" t="s">
        <v>15</v>
      </c>
      <c r="S6" s="35" t="s">
        <v>16</v>
      </c>
      <c r="T6" s="35" t="s">
        <v>17</v>
      </c>
      <c r="U6" s="35" t="s">
        <v>18</v>
      </c>
      <c r="V6" s="36" t="s">
        <v>19</v>
      </c>
      <c r="W6" s="35"/>
      <c r="X6" s="36"/>
      <c r="Y6" s="36"/>
      <c r="Z6" s="36" t="s">
        <v>23</v>
      </c>
      <c r="AA6" s="36" t="s">
        <v>24</v>
      </c>
      <c r="AB6" s="36" t="s">
        <v>25</v>
      </c>
      <c r="AC6" s="35" t="s">
        <v>26</v>
      </c>
      <c r="AD6" s="36" t="s">
        <v>27</v>
      </c>
      <c r="AE6" s="36" t="s">
        <v>28</v>
      </c>
      <c r="AF6" s="36" t="s">
        <v>29</v>
      </c>
      <c r="AG6" s="54"/>
      <c r="AH6" s="35" t="s">
        <v>30</v>
      </c>
      <c r="AI6" s="36" t="s">
        <v>31</v>
      </c>
      <c r="AJ6" s="36" t="s">
        <v>32</v>
      </c>
      <c r="AK6" s="41" t="s">
        <v>75</v>
      </c>
      <c r="AL6" s="35" t="s">
        <v>76</v>
      </c>
      <c r="AM6" s="36" t="s">
        <v>83</v>
      </c>
      <c r="AN6" s="35" t="s">
        <v>87</v>
      </c>
      <c r="AO6" s="73" t="s">
        <v>99</v>
      </c>
      <c r="AP6" s="73" t="s">
        <v>100</v>
      </c>
      <c r="AQ6" s="35" t="s">
        <v>101</v>
      </c>
      <c r="AR6" s="36" t="s">
        <v>77</v>
      </c>
      <c r="AS6" s="36" t="s">
        <v>88</v>
      </c>
      <c r="AT6" s="35" t="s">
        <v>33</v>
      </c>
      <c r="AU6" s="22" t="s">
        <v>34</v>
      </c>
    </row>
    <row r="8" spans="1:48" x14ac:dyDescent="0.2">
      <c r="A8" s="2" t="s">
        <v>36</v>
      </c>
      <c r="B8" s="55"/>
      <c r="C8" s="55"/>
      <c r="D8" s="26"/>
      <c r="E8" s="55"/>
      <c r="F8" s="55"/>
      <c r="G8" s="55"/>
      <c r="H8" s="26"/>
      <c r="I8" s="55"/>
      <c r="J8" s="55"/>
      <c r="K8" s="55"/>
      <c r="L8" s="55"/>
      <c r="M8" s="6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6">
        <f>SUM(B8:AS8)</f>
        <v>0</v>
      </c>
      <c r="AU8" s="23" t="e">
        <f>+AT8/$AT$13</f>
        <v>#DIV/0!</v>
      </c>
    </row>
    <row r="9" spans="1:48" x14ac:dyDescent="0.2">
      <c r="A9" s="2" t="s">
        <v>94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6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6">
        <f t="shared" ref="AT9:AT12" si="0">SUM(B9:AS9)</f>
        <v>0</v>
      </c>
      <c r="AU9" s="23" t="e">
        <f>+AT9/$AT$13</f>
        <v>#DIV/0!</v>
      </c>
    </row>
    <row r="10" spans="1:48" x14ac:dyDescent="0.2"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6">
        <f t="shared" si="0"/>
        <v>0</v>
      </c>
      <c r="AU10" s="23" t="e">
        <f>+AT10/$AT$13</f>
        <v>#DIV/0!</v>
      </c>
    </row>
    <row r="11" spans="1:48" x14ac:dyDescent="0.2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6">
        <f t="shared" si="0"/>
        <v>0</v>
      </c>
      <c r="AU11" s="23" t="e">
        <f>+AT11/$AT$13</f>
        <v>#DIV/0!</v>
      </c>
    </row>
    <row r="12" spans="1:48" x14ac:dyDescent="0.2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6">
        <f t="shared" si="0"/>
        <v>0</v>
      </c>
      <c r="AU12" s="23" t="e">
        <f>+AT12/$AT$13</f>
        <v>#DIV/0!</v>
      </c>
    </row>
    <row r="13" spans="1:48" ht="12.75" thickBot="1" x14ac:dyDescent="0.25">
      <c r="A13" s="14" t="s">
        <v>37</v>
      </c>
      <c r="B13" s="59">
        <f>SUM(B8:B12)</f>
        <v>0</v>
      </c>
      <c r="C13" s="59">
        <f t="shared" ref="C13:AS13" si="1">SUM(C8:C12)</f>
        <v>0</v>
      </c>
      <c r="D13" s="59">
        <f t="shared" si="1"/>
        <v>0</v>
      </c>
      <c r="E13" s="59">
        <f t="shared" si="1"/>
        <v>0</v>
      </c>
      <c r="F13" s="59">
        <f t="shared" si="1"/>
        <v>0</v>
      </c>
      <c r="G13" s="59">
        <f t="shared" si="1"/>
        <v>0</v>
      </c>
      <c r="H13" s="59">
        <f t="shared" si="1"/>
        <v>0</v>
      </c>
      <c r="I13" s="59">
        <f t="shared" si="1"/>
        <v>0</v>
      </c>
      <c r="J13" s="59">
        <f t="shared" si="1"/>
        <v>0</v>
      </c>
      <c r="K13" s="59">
        <f t="shared" si="1"/>
        <v>0</v>
      </c>
      <c r="L13" s="59">
        <f t="shared" si="1"/>
        <v>0</v>
      </c>
      <c r="M13" s="59">
        <f t="shared" si="1"/>
        <v>0</v>
      </c>
      <c r="N13" s="59">
        <f t="shared" si="1"/>
        <v>0</v>
      </c>
      <c r="O13" s="59">
        <f t="shared" si="1"/>
        <v>0</v>
      </c>
      <c r="P13" s="59">
        <f t="shared" si="1"/>
        <v>0</v>
      </c>
      <c r="Q13" s="59">
        <f t="shared" si="1"/>
        <v>0</v>
      </c>
      <c r="R13" s="59">
        <f t="shared" si="1"/>
        <v>0</v>
      </c>
      <c r="S13" s="59">
        <f t="shared" si="1"/>
        <v>0</v>
      </c>
      <c r="T13" s="59">
        <f t="shared" si="1"/>
        <v>0</v>
      </c>
      <c r="U13" s="59">
        <f t="shared" si="1"/>
        <v>0</v>
      </c>
      <c r="V13" s="59">
        <f t="shared" si="1"/>
        <v>0</v>
      </c>
      <c r="W13" s="59">
        <f t="shared" si="1"/>
        <v>0</v>
      </c>
      <c r="X13" s="59">
        <f t="shared" si="1"/>
        <v>0</v>
      </c>
      <c r="Y13" s="59">
        <f t="shared" si="1"/>
        <v>0</v>
      </c>
      <c r="Z13" s="59">
        <f t="shared" si="1"/>
        <v>0</v>
      </c>
      <c r="AA13" s="59">
        <f t="shared" si="1"/>
        <v>0</v>
      </c>
      <c r="AB13" s="59">
        <f t="shared" si="1"/>
        <v>0</v>
      </c>
      <c r="AC13" s="59">
        <f t="shared" si="1"/>
        <v>0</v>
      </c>
      <c r="AD13" s="59">
        <f t="shared" si="1"/>
        <v>0</v>
      </c>
      <c r="AE13" s="59">
        <f t="shared" si="1"/>
        <v>0</v>
      </c>
      <c r="AF13" s="59">
        <f t="shared" si="1"/>
        <v>0</v>
      </c>
      <c r="AG13" s="59">
        <f t="shared" si="1"/>
        <v>0</v>
      </c>
      <c r="AH13" s="59">
        <f t="shared" si="1"/>
        <v>0</v>
      </c>
      <c r="AI13" s="59">
        <f t="shared" si="1"/>
        <v>0</v>
      </c>
      <c r="AJ13" s="59">
        <f t="shared" si="1"/>
        <v>0</v>
      </c>
      <c r="AK13" s="59">
        <f t="shared" si="1"/>
        <v>0</v>
      </c>
      <c r="AL13" s="59">
        <f t="shared" si="1"/>
        <v>0</v>
      </c>
      <c r="AM13" s="59">
        <f t="shared" si="1"/>
        <v>0</v>
      </c>
      <c r="AN13" s="59">
        <f t="shared" si="1"/>
        <v>0</v>
      </c>
      <c r="AO13" s="59">
        <f t="shared" si="1"/>
        <v>0</v>
      </c>
      <c r="AP13" s="59">
        <f t="shared" si="1"/>
        <v>0</v>
      </c>
      <c r="AQ13" s="59">
        <f t="shared" si="1"/>
        <v>0</v>
      </c>
      <c r="AR13" s="59">
        <f t="shared" si="1"/>
        <v>0</v>
      </c>
      <c r="AS13" s="59">
        <f t="shared" si="1"/>
        <v>0</v>
      </c>
      <c r="AT13" s="14">
        <f>SUM(AT8:AT12)</f>
        <v>0</v>
      </c>
      <c r="AU13" s="10" t="e">
        <f>SUM(AU8:AU12)</f>
        <v>#DIV/0!</v>
      </c>
    </row>
    <row r="14" spans="1:48" ht="12.75" thickTop="1" x14ac:dyDescent="0.2"/>
    <row r="15" spans="1:48" x14ac:dyDescent="0.2">
      <c r="A15" s="2" t="s">
        <v>39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30">
        <f t="shared" ref="AT15:AT44" si="2">SUM(B15:AS15)</f>
        <v>0</v>
      </c>
      <c r="AU15" s="23" t="e">
        <f t="shared" ref="AU15:AU44" si="3">+AT15/$AT$45</f>
        <v>#DIV/0!</v>
      </c>
      <c r="AV15" s="2" t="s">
        <v>68</v>
      </c>
    </row>
    <row r="16" spans="1:48" x14ac:dyDescent="0.2">
      <c r="A16" s="2" t="s">
        <v>40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30">
        <f t="shared" si="2"/>
        <v>0</v>
      </c>
      <c r="AU16" s="23" t="e">
        <f t="shared" si="3"/>
        <v>#DIV/0!</v>
      </c>
      <c r="AV16" s="2" t="s">
        <v>68</v>
      </c>
    </row>
    <row r="17" spans="1:48" x14ac:dyDescent="0.2">
      <c r="A17" s="2" t="s">
        <v>41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30">
        <f t="shared" si="2"/>
        <v>0</v>
      </c>
      <c r="AU17" s="23" t="e">
        <f t="shared" si="3"/>
        <v>#DIV/0!</v>
      </c>
      <c r="AV17" s="2" t="s">
        <v>68</v>
      </c>
    </row>
    <row r="18" spans="1:48" x14ac:dyDescent="0.2">
      <c r="A18" s="2" t="s">
        <v>42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30">
        <f t="shared" si="2"/>
        <v>0</v>
      </c>
      <c r="AU18" s="23" t="e">
        <f t="shared" si="3"/>
        <v>#DIV/0!</v>
      </c>
      <c r="AV18" s="2" t="s">
        <v>68</v>
      </c>
    </row>
    <row r="19" spans="1:48" x14ac:dyDescent="0.2">
      <c r="A19" s="2" t="s">
        <v>43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30">
        <f t="shared" si="2"/>
        <v>0</v>
      </c>
      <c r="AU19" s="23" t="e">
        <f t="shared" si="3"/>
        <v>#DIV/0!</v>
      </c>
    </row>
    <row r="20" spans="1:48" x14ac:dyDescent="0.2">
      <c r="A20" s="2" t="s">
        <v>44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30">
        <f t="shared" si="2"/>
        <v>0</v>
      </c>
      <c r="AU20" s="23" t="e">
        <f t="shared" si="3"/>
        <v>#DIV/0!</v>
      </c>
    </row>
    <row r="21" spans="1:48" x14ac:dyDescent="0.2">
      <c r="A21" s="2" t="s">
        <v>45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30">
        <f t="shared" si="2"/>
        <v>0</v>
      </c>
      <c r="AU21" s="23" t="e">
        <f t="shared" si="3"/>
        <v>#DIV/0!</v>
      </c>
    </row>
    <row r="22" spans="1:48" x14ac:dyDescent="0.2">
      <c r="A22" s="2" t="s">
        <v>46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30">
        <f t="shared" si="2"/>
        <v>0</v>
      </c>
      <c r="AU22" s="23" t="e">
        <f t="shared" si="3"/>
        <v>#DIV/0!</v>
      </c>
    </row>
    <row r="23" spans="1:48" x14ac:dyDescent="0.2">
      <c r="A23" s="2" t="s">
        <v>47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30">
        <f t="shared" si="2"/>
        <v>0</v>
      </c>
      <c r="AU23" s="23" t="e">
        <f t="shared" si="3"/>
        <v>#DIV/0!</v>
      </c>
    </row>
    <row r="24" spans="1:48" x14ac:dyDescent="0.2">
      <c r="A24" s="2" t="s">
        <v>48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30">
        <f t="shared" si="2"/>
        <v>0</v>
      </c>
      <c r="AU24" s="23" t="e">
        <f t="shared" si="3"/>
        <v>#DIV/0!</v>
      </c>
    </row>
    <row r="25" spans="1:48" x14ac:dyDescent="0.2">
      <c r="A25" s="2" t="s">
        <v>49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30">
        <f t="shared" si="2"/>
        <v>0</v>
      </c>
      <c r="AU25" s="23" t="e">
        <f t="shared" si="3"/>
        <v>#DIV/0!</v>
      </c>
    </row>
    <row r="26" spans="1:48" x14ac:dyDescent="0.2">
      <c r="A26" s="2" t="s">
        <v>50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30">
        <f t="shared" si="2"/>
        <v>0</v>
      </c>
      <c r="AU26" s="23" t="e">
        <f t="shared" si="3"/>
        <v>#DIV/0!</v>
      </c>
    </row>
    <row r="27" spans="1:48" x14ac:dyDescent="0.2">
      <c r="A27" s="2" t="s">
        <v>51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30">
        <f t="shared" si="2"/>
        <v>0</v>
      </c>
      <c r="AU27" s="23" t="e">
        <f t="shared" si="3"/>
        <v>#DIV/0!</v>
      </c>
    </row>
    <row r="28" spans="1:48" x14ac:dyDescent="0.2">
      <c r="A28" s="2" t="s">
        <v>52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30">
        <f t="shared" si="2"/>
        <v>0</v>
      </c>
      <c r="AU28" s="23" t="e">
        <f t="shared" si="3"/>
        <v>#DIV/0!</v>
      </c>
    </row>
    <row r="29" spans="1:48" x14ac:dyDescent="0.2">
      <c r="A29" s="2" t="s">
        <v>53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30">
        <f t="shared" si="2"/>
        <v>0</v>
      </c>
      <c r="AU29" s="23" t="e">
        <f t="shared" si="3"/>
        <v>#DIV/0!</v>
      </c>
    </row>
    <row r="30" spans="1:48" x14ac:dyDescent="0.2">
      <c r="A30" s="2" t="s">
        <v>54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30">
        <f t="shared" si="2"/>
        <v>0</v>
      </c>
      <c r="AU30" s="23" t="e">
        <f t="shared" si="3"/>
        <v>#DIV/0!</v>
      </c>
    </row>
    <row r="31" spans="1:48" x14ac:dyDescent="0.2">
      <c r="A31" s="2" t="s">
        <v>55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30">
        <f t="shared" si="2"/>
        <v>0</v>
      </c>
      <c r="AU31" s="23" t="e">
        <f t="shared" si="3"/>
        <v>#DIV/0!</v>
      </c>
    </row>
    <row r="32" spans="1:48" x14ac:dyDescent="0.2">
      <c r="A32" s="2" t="s">
        <v>56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30">
        <f t="shared" si="2"/>
        <v>0</v>
      </c>
      <c r="AU32" s="23" t="e">
        <f t="shared" si="3"/>
        <v>#DIV/0!</v>
      </c>
    </row>
    <row r="33" spans="1:48" x14ac:dyDescent="0.2">
      <c r="A33" s="76" t="s">
        <v>102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30">
        <f t="shared" si="2"/>
        <v>0</v>
      </c>
      <c r="AU33" s="23" t="e">
        <f t="shared" si="3"/>
        <v>#DIV/0!</v>
      </c>
    </row>
    <row r="34" spans="1:48" x14ac:dyDescent="0.2">
      <c r="A34" s="2" t="s">
        <v>57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30">
        <f t="shared" si="2"/>
        <v>0</v>
      </c>
      <c r="AU34" s="23" t="e">
        <f t="shared" si="3"/>
        <v>#DIV/0!</v>
      </c>
    </row>
    <row r="35" spans="1:48" x14ac:dyDescent="0.2">
      <c r="A35" s="2" t="s">
        <v>58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30">
        <f t="shared" si="2"/>
        <v>0</v>
      </c>
      <c r="AU35" s="23" t="e">
        <f t="shared" si="3"/>
        <v>#DIV/0!</v>
      </c>
    </row>
    <row r="36" spans="1:48" x14ac:dyDescent="0.2">
      <c r="A36" s="2" t="s">
        <v>59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30">
        <f t="shared" si="2"/>
        <v>0</v>
      </c>
      <c r="AU36" s="23" t="e">
        <f t="shared" si="3"/>
        <v>#DIV/0!</v>
      </c>
    </row>
    <row r="37" spans="1:48" x14ac:dyDescent="0.2">
      <c r="A37" s="2" t="s">
        <v>60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30">
        <f t="shared" si="2"/>
        <v>0</v>
      </c>
      <c r="AU37" s="23" t="e">
        <f t="shared" si="3"/>
        <v>#DIV/0!</v>
      </c>
    </row>
    <row r="38" spans="1:48" x14ac:dyDescent="0.2">
      <c r="A38" s="2" t="s">
        <v>61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30">
        <f t="shared" si="2"/>
        <v>0</v>
      </c>
      <c r="AU38" s="23" t="e">
        <f t="shared" si="3"/>
        <v>#DIV/0!</v>
      </c>
    </row>
    <row r="39" spans="1:48" x14ac:dyDescent="0.2">
      <c r="A39" s="76" t="s">
        <v>105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30">
        <f t="shared" si="2"/>
        <v>0</v>
      </c>
      <c r="AU39" s="23" t="e">
        <f t="shared" si="3"/>
        <v>#DIV/0!</v>
      </c>
    </row>
    <row r="40" spans="1:48" x14ac:dyDescent="0.2">
      <c r="A40" s="2" t="s">
        <v>62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30">
        <f t="shared" si="2"/>
        <v>0</v>
      </c>
      <c r="AU40" s="23" t="e">
        <f t="shared" si="3"/>
        <v>#DIV/0!</v>
      </c>
      <c r="AV40" s="2" t="s">
        <v>68</v>
      </c>
    </row>
    <row r="41" spans="1:48" x14ac:dyDescent="0.2">
      <c r="A41" s="2" t="s">
        <v>63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30">
        <f t="shared" si="2"/>
        <v>0</v>
      </c>
      <c r="AU41" s="23" t="e">
        <f t="shared" si="3"/>
        <v>#DIV/0!</v>
      </c>
    </row>
    <row r="42" spans="1:48" x14ac:dyDescent="0.2">
      <c r="A42" s="2" t="s">
        <v>81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30">
        <f t="shared" si="2"/>
        <v>0</v>
      </c>
      <c r="AU42" s="23" t="e">
        <f t="shared" si="3"/>
        <v>#DIV/0!</v>
      </c>
    </row>
    <row r="43" spans="1:48" x14ac:dyDescent="0.2">
      <c r="A43" s="2" t="s">
        <v>64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30">
        <f t="shared" si="2"/>
        <v>0</v>
      </c>
      <c r="AU43" s="23" t="e">
        <f t="shared" si="3"/>
        <v>#DIV/0!</v>
      </c>
    </row>
    <row r="44" spans="1:48" x14ac:dyDescent="0.2">
      <c r="A44" s="2" t="s">
        <v>66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30">
        <f t="shared" si="2"/>
        <v>0</v>
      </c>
      <c r="AU44" s="23" t="e">
        <f t="shared" si="3"/>
        <v>#DIV/0!</v>
      </c>
    </row>
    <row r="45" spans="1:48" ht="12.75" thickBot="1" x14ac:dyDescent="0.25">
      <c r="A45" s="14" t="s">
        <v>67</v>
      </c>
      <c r="B45" s="27">
        <f>SUM(B15:B44)</f>
        <v>0</v>
      </c>
      <c r="C45" s="27">
        <f t="shared" ref="C45:AS45" si="4">SUM(C15:C44)</f>
        <v>0</v>
      </c>
      <c r="D45" s="27">
        <f t="shared" si="4"/>
        <v>0</v>
      </c>
      <c r="E45" s="27">
        <f t="shared" si="4"/>
        <v>0</v>
      </c>
      <c r="F45" s="27">
        <f t="shared" si="4"/>
        <v>0</v>
      </c>
      <c r="G45" s="27">
        <f t="shared" si="4"/>
        <v>0</v>
      </c>
      <c r="H45" s="27">
        <f t="shared" si="4"/>
        <v>0</v>
      </c>
      <c r="I45" s="27">
        <f t="shared" si="4"/>
        <v>0</v>
      </c>
      <c r="J45" s="27">
        <f t="shared" si="4"/>
        <v>0</v>
      </c>
      <c r="K45" s="27">
        <f t="shared" si="4"/>
        <v>0</v>
      </c>
      <c r="L45" s="27">
        <f t="shared" si="4"/>
        <v>0</v>
      </c>
      <c r="M45" s="27">
        <f t="shared" si="4"/>
        <v>0</v>
      </c>
      <c r="N45" s="27">
        <f t="shared" si="4"/>
        <v>0</v>
      </c>
      <c r="O45" s="27">
        <f t="shared" si="4"/>
        <v>0</v>
      </c>
      <c r="P45" s="27">
        <f t="shared" si="4"/>
        <v>0</v>
      </c>
      <c r="Q45" s="27">
        <f t="shared" si="4"/>
        <v>0</v>
      </c>
      <c r="R45" s="27">
        <f t="shared" si="4"/>
        <v>0</v>
      </c>
      <c r="S45" s="27">
        <f t="shared" si="4"/>
        <v>0</v>
      </c>
      <c r="T45" s="27">
        <f t="shared" si="4"/>
        <v>0</v>
      </c>
      <c r="U45" s="27">
        <f t="shared" si="4"/>
        <v>0</v>
      </c>
      <c r="V45" s="27">
        <f t="shared" si="4"/>
        <v>0</v>
      </c>
      <c r="W45" s="27">
        <f t="shared" si="4"/>
        <v>0</v>
      </c>
      <c r="X45" s="27">
        <f t="shared" si="4"/>
        <v>0</v>
      </c>
      <c r="Y45" s="27">
        <f t="shared" si="4"/>
        <v>0</v>
      </c>
      <c r="Z45" s="27">
        <f t="shared" si="4"/>
        <v>0</v>
      </c>
      <c r="AA45" s="27">
        <f t="shared" si="4"/>
        <v>0</v>
      </c>
      <c r="AB45" s="27">
        <f t="shared" si="4"/>
        <v>0</v>
      </c>
      <c r="AC45" s="27">
        <f t="shared" si="4"/>
        <v>0</v>
      </c>
      <c r="AD45" s="27">
        <f t="shared" si="4"/>
        <v>0</v>
      </c>
      <c r="AE45" s="27">
        <f t="shared" si="4"/>
        <v>0</v>
      </c>
      <c r="AF45" s="27">
        <f t="shared" si="4"/>
        <v>0</v>
      </c>
      <c r="AG45" s="27">
        <f t="shared" si="4"/>
        <v>0</v>
      </c>
      <c r="AH45" s="27">
        <f t="shared" si="4"/>
        <v>0</v>
      </c>
      <c r="AI45" s="27">
        <f t="shared" si="4"/>
        <v>0</v>
      </c>
      <c r="AJ45" s="27">
        <f t="shared" si="4"/>
        <v>0</v>
      </c>
      <c r="AK45" s="27">
        <f t="shared" si="4"/>
        <v>0</v>
      </c>
      <c r="AL45" s="27">
        <f>SUM(AL15:AL44)</f>
        <v>0</v>
      </c>
      <c r="AM45" s="27">
        <f>SUM(AM15:AM44)</f>
        <v>0</v>
      </c>
      <c r="AN45" s="27">
        <f t="shared" ref="AN45:AR45" si="5">SUM(AN15:AN44)</f>
        <v>0</v>
      </c>
      <c r="AO45" s="27">
        <f t="shared" si="5"/>
        <v>0</v>
      </c>
      <c r="AP45" s="27">
        <f t="shared" si="5"/>
        <v>0</v>
      </c>
      <c r="AQ45" s="27">
        <f t="shared" si="5"/>
        <v>0</v>
      </c>
      <c r="AR45" s="27">
        <f t="shared" si="5"/>
        <v>0</v>
      </c>
      <c r="AS45" s="27">
        <f t="shared" si="4"/>
        <v>0</v>
      </c>
      <c r="AT45" s="27">
        <f>SUM(AT15:AT44)</f>
        <v>0</v>
      </c>
      <c r="AU45" s="10" t="e">
        <f>SUM(AU15:AU44)</f>
        <v>#DIV/0!</v>
      </c>
      <c r="AV45" s="53"/>
    </row>
    <row r="46" spans="1:48" ht="12.75" thickTop="1" x14ac:dyDescent="0.2">
      <c r="D46" s="2" t="s">
        <v>68</v>
      </c>
      <c r="E46" s="2" t="s">
        <v>68</v>
      </c>
      <c r="F46" s="2" t="s">
        <v>68</v>
      </c>
      <c r="G46" s="2" t="s">
        <v>68</v>
      </c>
      <c r="H46" s="2" t="s">
        <v>68</v>
      </c>
      <c r="I46" s="2" t="s">
        <v>68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68</v>
      </c>
      <c r="Q46" s="2" t="s">
        <v>68</v>
      </c>
      <c r="R46" s="2" t="s">
        <v>68</v>
      </c>
      <c r="S46" s="2" t="s">
        <v>68</v>
      </c>
      <c r="AT46" s="29" t="s">
        <v>68</v>
      </c>
    </row>
    <row r="47" spans="1:48" ht="12.75" thickBot="1" x14ac:dyDescent="0.25">
      <c r="A47" s="14" t="s">
        <v>69</v>
      </c>
      <c r="B47" s="14">
        <f>+B13-B45</f>
        <v>0</v>
      </c>
      <c r="C47" s="14">
        <f t="shared" ref="C47:Z47" si="6">+C13-C45</f>
        <v>0</v>
      </c>
      <c r="D47" s="14">
        <f t="shared" si="6"/>
        <v>0</v>
      </c>
      <c r="E47" s="14">
        <f t="shared" si="6"/>
        <v>0</v>
      </c>
      <c r="F47" s="14">
        <f t="shared" si="6"/>
        <v>0</v>
      </c>
      <c r="G47" s="14">
        <f>+G13-G45</f>
        <v>0</v>
      </c>
      <c r="H47" s="14">
        <f t="shared" si="6"/>
        <v>0</v>
      </c>
      <c r="I47" s="14">
        <f t="shared" si="6"/>
        <v>0</v>
      </c>
      <c r="J47" s="14">
        <f t="shared" si="6"/>
        <v>0</v>
      </c>
      <c r="K47" s="14">
        <f t="shared" si="6"/>
        <v>0</v>
      </c>
      <c r="L47" s="14">
        <f t="shared" si="6"/>
        <v>0</v>
      </c>
      <c r="M47" s="14">
        <f t="shared" si="6"/>
        <v>0</v>
      </c>
      <c r="N47" s="14">
        <f t="shared" si="6"/>
        <v>0</v>
      </c>
      <c r="O47" s="14">
        <f t="shared" si="6"/>
        <v>0</v>
      </c>
      <c r="P47" s="14">
        <f t="shared" si="6"/>
        <v>0</v>
      </c>
      <c r="Q47" s="14">
        <f t="shared" si="6"/>
        <v>0</v>
      </c>
      <c r="R47" s="14">
        <f t="shared" si="6"/>
        <v>0</v>
      </c>
      <c r="S47" s="14">
        <f t="shared" si="6"/>
        <v>0</v>
      </c>
      <c r="T47" s="14">
        <f t="shared" si="6"/>
        <v>0</v>
      </c>
      <c r="U47" s="14">
        <f t="shared" si="6"/>
        <v>0</v>
      </c>
      <c r="V47" s="14">
        <f t="shared" si="6"/>
        <v>0</v>
      </c>
      <c r="W47" s="14">
        <f t="shared" si="6"/>
        <v>0</v>
      </c>
      <c r="X47" s="14">
        <f t="shared" si="6"/>
        <v>0</v>
      </c>
      <c r="Y47" s="14">
        <f>+Y13-Y45</f>
        <v>0</v>
      </c>
      <c r="Z47" s="14">
        <f t="shared" si="6"/>
        <v>0</v>
      </c>
      <c r="AA47" s="14">
        <f>+AA13-AA45</f>
        <v>0</v>
      </c>
      <c r="AB47" s="14">
        <f>+AB13-AB45</f>
        <v>0</v>
      </c>
      <c r="AC47" s="14">
        <f>+AC13-AC45</f>
        <v>0</v>
      </c>
      <c r="AD47" s="14">
        <f>+AD13-AD45</f>
        <v>0</v>
      </c>
      <c r="AE47" s="14">
        <f t="shared" ref="AE47:AJ47" si="7">+AE13-AE45</f>
        <v>0</v>
      </c>
      <c r="AF47" s="14">
        <f t="shared" si="7"/>
        <v>0</v>
      </c>
      <c r="AG47" s="14">
        <f t="shared" si="7"/>
        <v>0</v>
      </c>
      <c r="AH47" s="14">
        <f t="shared" si="7"/>
        <v>0</v>
      </c>
      <c r="AI47" s="14">
        <f t="shared" si="7"/>
        <v>0</v>
      </c>
      <c r="AJ47" s="14">
        <f t="shared" si="7"/>
        <v>0</v>
      </c>
      <c r="AK47" s="14">
        <f>+AK13-AK45</f>
        <v>0</v>
      </c>
      <c r="AL47" s="14">
        <f>+AL13-AL45</f>
        <v>0</v>
      </c>
      <c r="AM47" s="14">
        <f>+AM13-AM45</f>
        <v>0</v>
      </c>
      <c r="AN47" s="14">
        <f t="shared" ref="AN47:AS47" si="8">+AN13-AN45</f>
        <v>0</v>
      </c>
      <c r="AO47" s="14">
        <f t="shared" si="8"/>
        <v>0</v>
      </c>
      <c r="AP47" s="14">
        <f t="shared" si="8"/>
        <v>0</v>
      </c>
      <c r="AQ47" s="14">
        <f t="shared" si="8"/>
        <v>0</v>
      </c>
      <c r="AR47" s="14">
        <f t="shared" si="8"/>
        <v>0</v>
      </c>
      <c r="AS47" s="14">
        <f t="shared" si="8"/>
        <v>0</v>
      </c>
      <c r="AT47" s="14">
        <f>SUM(B47:AS47)</f>
        <v>0</v>
      </c>
      <c r="AU47" s="39"/>
    </row>
    <row r="48" spans="1:48" ht="12.75" thickTop="1" x14ac:dyDescent="0.2"/>
    <row r="49" spans="1:47" x14ac:dyDescent="0.2">
      <c r="A49" s="2" t="s">
        <v>70</v>
      </c>
      <c r="AT49" s="29">
        <f>SUM(B49:AS49)</f>
        <v>0</v>
      </c>
      <c r="AU49" s="2"/>
    </row>
    <row r="50" spans="1:47" s="25" customFormat="1" x14ac:dyDescent="0.2">
      <c r="A50" s="37" t="s">
        <v>71</v>
      </c>
      <c r="B50" s="37">
        <f>+B47-B49</f>
        <v>0</v>
      </c>
      <c r="C50" s="37">
        <f t="shared" ref="C50:AS50" si="9">+C47-C49</f>
        <v>0</v>
      </c>
      <c r="D50" s="37">
        <f t="shared" si="9"/>
        <v>0</v>
      </c>
      <c r="E50" s="37">
        <f t="shared" si="9"/>
        <v>0</v>
      </c>
      <c r="F50" s="37">
        <f t="shared" si="9"/>
        <v>0</v>
      </c>
      <c r="G50" s="37">
        <f t="shared" si="9"/>
        <v>0</v>
      </c>
      <c r="H50" s="37">
        <f t="shared" si="9"/>
        <v>0</v>
      </c>
      <c r="I50" s="37">
        <f t="shared" si="9"/>
        <v>0</v>
      </c>
      <c r="J50" s="37">
        <f t="shared" si="9"/>
        <v>0</v>
      </c>
      <c r="K50" s="37">
        <f t="shared" si="9"/>
        <v>0</v>
      </c>
      <c r="L50" s="37">
        <f t="shared" si="9"/>
        <v>0</v>
      </c>
      <c r="M50" s="37">
        <f t="shared" si="9"/>
        <v>0</v>
      </c>
      <c r="N50" s="37">
        <f t="shared" si="9"/>
        <v>0</v>
      </c>
      <c r="O50" s="37">
        <f t="shared" si="9"/>
        <v>0</v>
      </c>
      <c r="P50" s="37">
        <f t="shared" si="9"/>
        <v>0</v>
      </c>
      <c r="Q50" s="37">
        <f t="shared" si="9"/>
        <v>0</v>
      </c>
      <c r="R50" s="37">
        <f t="shared" si="9"/>
        <v>0</v>
      </c>
      <c r="S50" s="37">
        <f t="shared" si="9"/>
        <v>0</v>
      </c>
      <c r="T50" s="37">
        <f t="shared" si="9"/>
        <v>0</v>
      </c>
      <c r="U50" s="37">
        <f t="shared" si="9"/>
        <v>0</v>
      </c>
      <c r="V50" s="37">
        <f t="shared" si="9"/>
        <v>0</v>
      </c>
      <c r="W50" s="37">
        <f t="shared" si="9"/>
        <v>0</v>
      </c>
      <c r="X50" s="37">
        <f t="shared" si="9"/>
        <v>0</v>
      </c>
      <c r="Y50" s="37">
        <f t="shared" si="9"/>
        <v>0</v>
      </c>
      <c r="Z50" s="37">
        <f t="shared" si="9"/>
        <v>0</v>
      </c>
      <c r="AA50" s="37">
        <f t="shared" si="9"/>
        <v>0</v>
      </c>
      <c r="AB50" s="37">
        <f t="shared" si="9"/>
        <v>0</v>
      </c>
      <c r="AC50" s="37">
        <f t="shared" si="9"/>
        <v>0</v>
      </c>
      <c r="AD50" s="37">
        <f t="shared" si="9"/>
        <v>0</v>
      </c>
      <c r="AE50" s="37">
        <f t="shared" si="9"/>
        <v>0</v>
      </c>
      <c r="AF50" s="37">
        <f t="shared" si="9"/>
        <v>0</v>
      </c>
      <c r="AG50" s="37">
        <f t="shared" si="9"/>
        <v>0</v>
      </c>
      <c r="AH50" s="37">
        <f t="shared" si="9"/>
        <v>0</v>
      </c>
      <c r="AI50" s="37">
        <f t="shared" si="9"/>
        <v>0</v>
      </c>
      <c r="AJ50" s="37">
        <f t="shared" si="9"/>
        <v>0</v>
      </c>
      <c r="AK50" s="37">
        <f t="shared" si="9"/>
        <v>0</v>
      </c>
      <c r="AL50" s="37">
        <f t="shared" si="9"/>
        <v>0</v>
      </c>
      <c r="AM50" s="37">
        <f t="shared" si="9"/>
        <v>0</v>
      </c>
      <c r="AN50" s="37">
        <f t="shared" si="9"/>
        <v>0</v>
      </c>
      <c r="AO50" s="37">
        <f t="shared" si="9"/>
        <v>0</v>
      </c>
      <c r="AP50" s="37">
        <f t="shared" si="9"/>
        <v>0</v>
      </c>
      <c r="AQ50" s="37">
        <f t="shared" si="9"/>
        <v>0</v>
      </c>
      <c r="AR50" s="37">
        <f t="shared" si="9"/>
        <v>0</v>
      </c>
      <c r="AS50" s="37">
        <f t="shared" si="9"/>
        <v>0</v>
      </c>
      <c r="AT50" s="38">
        <f>SUM(B50:AS50)-AT53-AT54-AT55+AT56</f>
        <v>0</v>
      </c>
      <c r="AU50" s="40"/>
    </row>
    <row r="51" spans="1:47" x14ac:dyDescent="0.2">
      <c r="AT51" s="18">
        <v>-4528532.91</v>
      </c>
      <c r="AU51" s="28" t="s">
        <v>72</v>
      </c>
    </row>
    <row r="52" spans="1:47" x14ac:dyDescent="0.2">
      <c r="AT52" s="47">
        <f>+AT50-AT51</f>
        <v>4528532.91</v>
      </c>
      <c r="AU52" s="48" t="s">
        <v>82</v>
      </c>
    </row>
    <row r="53" spans="1:47" x14ac:dyDescent="0.2">
      <c r="A53" s="45" t="s">
        <v>78</v>
      </c>
      <c r="B53" s="45"/>
      <c r="C53" s="45"/>
      <c r="D53" s="45">
        <f>+D50*8.5%</f>
        <v>0</v>
      </c>
      <c r="E53" s="45">
        <f>+E50*8.5%</f>
        <v>0</v>
      </c>
      <c r="F53" s="45"/>
      <c r="G53" s="45">
        <f>+G50*8.5%</f>
        <v>0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>
        <f>+V50*8.5%</f>
        <v>0</v>
      </c>
      <c r="W53" s="45"/>
      <c r="X53" s="45"/>
      <c r="Y53" s="45"/>
      <c r="Z53" s="45">
        <f>+Z50*8.5%</f>
        <v>0</v>
      </c>
      <c r="AA53" s="45">
        <f>+AA50*8.5%</f>
        <v>0</v>
      </c>
      <c r="AB53" s="45"/>
      <c r="AC53" s="45">
        <f>(AC50-AC54)*8.5%</f>
        <v>0</v>
      </c>
      <c r="AD53" s="45"/>
      <c r="AE53" s="45"/>
      <c r="AF53" s="45"/>
      <c r="AG53" s="45"/>
      <c r="AH53" s="45"/>
      <c r="AI53" s="45"/>
      <c r="AJ53" s="45">
        <f>+AJ50*8.5%</f>
        <v>0</v>
      </c>
      <c r="AK53" s="45"/>
      <c r="AL53" s="45">
        <f>+AL50*8.5%</f>
        <v>0</v>
      </c>
      <c r="AM53" s="45"/>
      <c r="AN53" s="45">
        <f>+AN50*8.5%</f>
        <v>0</v>
      </c>
      <c r="AO53" s="45"/>
      <c r="AP53" s="45"/>
      <c r="AQ53" s="45"/>
      <c r="AR53" s="45"/>
      <c r="AS53" s="45"/>
      <c r="AT53" s="46">
        <f>SUM(B53:AS53)</f>
        <v>0</v>
      </c>
    </row>
    <row r="54" spans="1:47" x14ac:dyDescent="0.2">
      <c r="A54" s="45" t="s">
        <v>84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6">
        <f t="shared" ref="AT54:AT56" si="10">SUM(B54:AS54)</f>
        <v>0</v>
      </c>
    </row>
    <row r="55" spans="1:47" s="1" customFormat="1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50"/>
      <c r="AT55" s="46">
        <f t="shared" si="10"/>
        <v>0</v>
      </c>
    </row>
    <row r="56" spans="1:47" s="1" customFormat="1" x14ac:dyDescent="0.2">
      <c r="A56" s="49" t="s">
        <v>86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5"/>
      <c r="AT56" s="46">
        <f t="shared" si="10"/>
        <v>0</v>
      </c>
    </row>
    <row r="58" spans="1:47" s="1" customFormat="1" ht="12.75" x14ac:dyDescent="0.2">
      <c r="A58" s="57" t="s">
        <v>92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65">
        <f>SUM(A58:AQ58)</f>
        <v>0</v>
      </c>
      <c r="AS58" s="66" t="s">
        <v>103</v>
      </c>
    </row>
    <row r="59" spans="1:47" s="1" customFormat="1" x14ac:dyDescent="0.2">
      <c r="A59" s="57" t="s">
        <v>91</v>
      </c>
      <c r="B59" s="58" t="e">
        <f>+B50/B58</f>
        <v>#DIV/0!</v>
      </c>
      <c r="C59" s="58" t="e">
        <f t="shared" ref="C59:AQ59" si="11">+C50/C58</f>
        <v>#DIV/0!</v>
      </c>
      <c r="D59" s="58"/>
      <c r="E59" s="58" t="e">
        <f t="shared" si="11"/>
        <v>#DIV/0!</v>
      </c>
      <c r="F59" s="58" t="e">
        <f t="shared" si="11"/>
        <v>#DIV/0!</v>
      </c>
      <c r="G59" s="58" t="e">
        <f t="shared" si="11"/>
        <v>#DIV/0!</v>
      </c>
      <c r="H59" s="58"/>
      <c r="I59" s="58" t="e">
        <f t="shared" si="11"/>
        <v>#DIV/0!</v>
      </c>
      <c r="J59" s="58" t="e">
        <f t="shared" si="11"/>
        <v>#DIV/0!</v>
      </c>
      <c r="K59" s="58" t="e">
        <f t="shared" si="11"/>
        <v>#DIV/0!</v>
      </c>
      <c r="L59" s="58" t="e">
        <f t="shared" si="11"/>
        <v>#DIV/0!</v>
      </c>
      <c r="M59" s="58" t="e">
        <f>(M50-M9)/M58</f>
        <v>#DIV/0!</v>
      </c>
      <c r="N59" s="58"/>
      <c r="O59" s="58"/>
      <c r="P59" s="58"/>
      <c r="Q59" s="58"/>
      <c r="R59" s="58" t="e">
        <f t="shared" si="11"/>
        <v>#DIV/0!</v>
      </c>
      <c r="S59" s="58" t="e">
        <f t="shared" si="11"/>
        <v>#DIV/0!</v>
      </c>
      <c r="T59" s="58" t="e">
        <f t="shared" si="11"/>
        <v>#DIV/0!</v>
      </c>
      <c r="U59" s="58"/>
      <c r="V59" s="58" t="e">
        <f t="shared" si="11"/>
        <v>#DIV/0!</v>
      </c>
      <c r="W59" s="58"/>
      <c r="X59" s="58"/>
      <c r="Y59" s="58"/>
      <c r="Z59" s="58" t="e">
        <f t="shared" si="11"/>
        <v>#DIV/0!</v>
      </c>
      <c r="AA59" s="58" t="e">
        <f t="shared" si="11"/>
        <v>#DIV/0!</v>
      </c>
      <c r="AB59" s="58" t="e">
        <f t="shared" si="11"/>
        <v>#DIV/0!</v>
      </c>
      <c r="AC59" s="58" t="e">
        <f t="shared" si="11"/>
        <v>#DIV/0!</v>
      </c>
      <c r="AD59" s="58" t="e">
        <f t="shared" si="11"/>
        <v>#DIV/0!</v>
      </c>
      <c r="AE59" s="58" t="e">
        <f t="shared" si="11"/>
        <v>#DIV/0!</v>
      </c>
      <c r="AF59" s="58" t="e">
        <f t="shared" si="11"/>
        <v>#DIV/0!</v>
      </c>
      <c r="AG59" s="58"/>
      <c r="AH59" s="58" t="e">
        <f t="shared" si="11"/>
        <v>#DIV/0!</v>
      </c>
      <c r="AI59" s="58" t="e">
        <f t="shared" si="11"/>
        <v>#DIV/0!</v>
      </c>
      <c r="AJ59" s="58"/>
      <c r="AK59" s="58" t="e">
        <f t="shared" si="11"/>
        <v>#DIV/0!</v>
      </c>
      <c r="AL59" s="58"/>
      <c r="AM59" s="58" t="e">
        <f t="shared" si="11"/>
        <v>#DIV/0!</v>
      </c>
      <c r="AN59" s="58" t="e">
        <f t="shared" si="11"/>
        <v>#DIV/0!</v>
      </c>
      <c r="AO59" s="58" t="e">
        <f t="shared" si="11"/>
        <v>#DIV/0!</v>
      </c>
      <c r="AP59" s="58" t="e">
        <f t="shared" si="11"/>
        <v>#DIV/0!</v>
      </c>
      <c r="AQ59" s="58" t="e">
        <f t="shared" si="11"/>
        <v>#DIV/0!</v>
      </c>
      <c r="AS59" s="32"/>
    </row>
    <row r="60" spans="1:47" s="1" customFormat="1" x14ac:dyDescent="0.2">
      <c r="N60" s="3"/>
      <c r="O60" s="3"/>
      <c r="P60" s="3"/>
      <c r="Q60" s="3"/>
      <c r="R60" s="3"/>
      <c r="S60" s="3"/>
      <c r="T60" s="3"/>
      <c r="U60" s="3"/>
    </row>
    <row r="61" spans="1:47" s="1" customFormat="1" x14ac:dyDescent="0.2">
      <c r="N61" s="3"/>
      <c r="O61" s="3"/>
      <c r="P61" s="3"/>
      <c r="Q61" s="3"/>
      <c r="R61" s="3"/>
      <c r="S61" s="3"/>
      <c r="T61" s="3"/>
      <c r="U61" s="3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ene</vt:lpstr>
      <vt:lpstr>feb</vt:lpstr>
      <vt:lpstr>MAR</vt:lpstr>
      <vt:lpstr>ABR</vt:lpstr>
      <vt:lpstr>MAY</vt:lpstr>
      <vt:lpstr>JUN</vt:lpstr>
      <vt:lpstr>JUL</vt:lpstr>
      <vt:lpstr>AGO</vt:lpstr>
      <vt:lpstr>SEP</vt:lpstr>
      <vt:lpstr>Oct</vt:lpstr>
      <vt:lpstr>NOV</vt:lpstr>
      <vt:lpstr>DIC</vt:lpstr>
      <vt:lpstr>feb!Área_de_impresión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Pulido</dc:creator>
  <cp:lastModifiedBy>Tania Pulido</cp:lastModifiedBy>
  <dcterms:created xsi:type="dcterms:W3CDTF">2024-03-25T17:00:16Z</dcterms:created>
  <dcterms:modified xsi:type="dcterms:W3CDTF">2026-01-09T19:40:55Z</dcterms:modified>
</cp:coreProperties>
</file>